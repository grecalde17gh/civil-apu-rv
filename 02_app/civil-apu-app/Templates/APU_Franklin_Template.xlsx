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\Documents\Consultorias\civil-apu-rv\02_app\civil-apu-app\Templates\"/>
    </mc:Choice>
  </mc:AlternateContent>
  <xr:revisionPtr revIDLastSave="0" documentId="13_ncr:1_{8977CA77-0808-4827-A786-1D1F8C961D45}" xr6:coauthVersionLast="47" xr6:coauthVersionMax="47" xr10:uidLastSave="{00000000-0000-0000-0000-000000000000}"/>
  <bookViews>
    <workbookView xWindow="-120" yWindow="-120" windowWidth="29040" windowHeight="15720" xr2:uid="{F8058718-E4FE-4072-B2EF-F90558E62932}"/>
  </bookViews>
  <sheets>
    <sheet name="RALV0008" sheetId="1" r:id="rId1"/>
  </sheets>
  <definedNames>
    <definedName name="_xlnm.Print_Area" localSheetId="0">RALV0008!$A$1:$K$66</definedName>
    <definedName name="LISTAMAT" localSheetId="0">#REF!</definedName>
    <definedName name="LISTAMAT">#REF!</definedName>
    <definedName name="lstManodeobra" localSheetId="0">#REF!</definedName>
    <definedName name="lstManodeobr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7" i="1" l="1"/>
  <c r="F56" i="1"/>
  <c r="F55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25" i="1"/>
  <c r="E25" i="1"/>
  <c r="D25" i="1"/>
  <c r="I24" i="1"/>
  <c r="E24" i="1"/>
  <c r="D24" i="1"/>
  <c r="I23" i="1"/>
  <c r="E23" i="1"/>
  <c r="D23" i="1"/>
  <c r="I22" i="1"/>
  <c r="E22" i="1"/>
  <c r="D22" i="1"/>
  <c r="I14" i="1"/>
  <c r="E14" i="1"/>
  <c r="D14" i="1"/>
  <c r="I13" i="1"/>
  <c r="E13" i="1"/>
  <c r="D13" i="1"/>
  <c r="I12" i="1"/>
  <c r="E12" i="1"/>
  <c r="D12" i="1"/>
  <c r="F22" i="1" l="1"/>
  <c r="F24" i="1"/>
  <c r="F23" i="1"/>
  <c r="F14" i="1"/>
  <c r="F12" i="1"/>
  <c r="F13" i="1"/>
  <c r="F25" i="1"/>
  <c r="F51" i="1"/>
  <c r="F18" i="1" l="1"/>
  <c r="F28" i="1"/>
  <c r="F60" i="1" l="1"/>
  <c r="F61" i="1" s="1"/>
  <c r="F62" i="1" s="1"/>
  <c r="F63" i="1" s="1"/>
  <c r="F7" i="1" s="1"/>
  <c r="G24" i="1" l="1"/>
  <c r="K24" i="1" s="1"/>
  <c r="G37" i="1"/>
  <c r="K37" i="1" s="1"/>
  <c r="G13" i="1"/>
  <c r="K13" i="1" s="1"/>
  <c r="G35" i="1"/>
  <c r="K35" i="1" s="1"/>
  <c r="G12" i="1"/>
  <c r="G34" i="1"/>
  <c r="K34" i="1" s="1"/>
  <c r="G33" i="1"/>
  <c r="K33" i="1" s="1"/>
  <c r="G25" i="1"/>
  <c r="K25" i="1" s="1"/>
  <c r="G23" i="1"/>
  <c r="K23" i="1" s="1"/>
  <c r="G36" i="1"/>
  <c r="K36" i="1" s="1"/>
  <c r="G32" i="1"/>
  <c r="K32" i="1" s="1"/>
  <c r="K51" i="1" s="1"/>
  <c r="G22" i="1"/>
  <c r="G28" i="1" s="1"/>
  <c r="G14" i="1"/>
  <c r="K14" i="1" s="1"/>
  <c r="K12" i="1"/>
  <c r="K18" i="1" s="1"/>
  <c r="G18" i="1"/>
  <c r="G51" i="1"/>
  <c r="K22" i="1" l="1"/>
  <c r="K28" i="1" s="1"/>
  <c r="G63" i="1"/>
  <c r="K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tc={E357F0E7-99FC-4F98-92F8-5CA9205D0F4A}</author>
  </authors>
  <commentList>
    <comment ref="R29" authorId="0" shapeId="0" xr:uid="{C4FB0A0D-7EA4-4EC1-9DB4-ED5456AB4A3E}">
      <text>
        <r>
          <rPr>
            <sz val="11"/>
            <color theme="1"/>
            <rFont val="Aptos Narrow"/>
            <family val="2"/>
            <scheme val="minor"/>
          </rPr>
          <t>Comentario:
    RENIDIMIENTO EDITABLE Y PRECIO UNITARIO CALCULADO EN TIEMPO REAL CUANDO SE MODIFIQUE</t>
        </r>
      </text>
    </comment>
  </commentList>
</comments>
</file>

<file path=xl/sharedStrings.xml><?xml version="1.0" encoding="utf-8"?>
<sst xmlns="http://schemas.openxmlformats.org/spreadsheetml/2006/main" count="155" uniqueCount="85">
  <si>
    <t>ANALISIS DE PRECIOS UNITARIOS</t>
  </si>
  <si>
    <t>DETERMINACIÓN DEL VAE DEL RUBRO</t>
  </si>
  <si>
    <t>PROYECTO:</t>
  </si>
  <si>
    <t>POLIDEPORTIVO CARPUELA</t>
  </si>
  <si>
    <t>RUBRO:</t>
  </si>
  <si>
    <t>Cimientos de hormigón ciclópeo f´c=180 Kg/cm2</t>
  </si>
  <si>
    <t xml:space="preserve">UNIDAD: </t>
  </si>
  <si>
    <t>m2</t>
  </si>
  <si>
    <t>RENDIMIENTO</t>
  </si>
  <si>
    <t>Rendimiento</t>
  </si>
  <si>
    <t>Precio unitario</t>
  </si>
  <si>
    <t>CODIGO:</t>
  </si>
  <si>
    <t>RALV0008</t>
  </si>
  <si>
    <t>EQUIPOS (1)</t>
  </si>
  <si>
    <t>DESCRIPCION</t>
  </si>
  <si>
    <t>CANTIDAD</t>
  </si>
  <si>
    <t>TARIFA</t>
  </si>
  <si>
    <t>COSTO HORA</t>
  </si>
  <si>
    <t>COSTO</t>
  </si>
  <si>
    <t>PESO RELATIVO %</t>
  </si>
  <si>
    <t>CPC ELEMENTO</t>
  </si>
  <si>
    <t>NP/EP /ND</t>
  </si>
  <si>
    <t>VAE %</t>
  </si>
  <si>
    <t>VAE % ELEMENTO</t>
  </si>
  <si>
    <t>A</t>
  </si>
  <si>
    <t>B</t>
  </si>
  <si>
    <t>C = A x B</t>
  </si>
  <si>
    <t>R</t>
  </si>
  <si>
    <t>D = C x R</t>
  </si>
  <si>
    <t>PRT=Td/Q</t>
  </si>
  <si>
    <t>-</t>
  </si>
  <si>
    <t>Vi%</t>
  </si>
  <si>
    <t>PRT*Vi%</t>
  </si>
  <si>
    <t>Herramienta de carpintería especializada</t>
  </si>
  <si>
    <t>Taladro eléctrico</t>
  </si>
  <si>
    <t>Atornillador</t>
  </si>
  <si>
    <t>ninguno</t>
  </si>
  <si>
    <t>SUBTOTAL (1)</t>
  </si>
  <si>
    <t>MANO DE OBRA (2)</t>
  </si>
  <si>
    <t>JORNAL /HR</t>
  </si>
  <si>
    <t>PRX=Xd/Q</t>
  </si>
  <si>
    <t>PRX*Vi%</t>
  </si>
  <si>
    <t>C1 - Maestro de obra</t>
  </si>
  <si>
    <t>D2 - Instalador</t>
  </si>
  <si>
    <t>B3 - Inspector de obra</t>
  </si>
  <si>
    <t>E2 - Peón/ayudante</t>
  </si>
  <si>
    <t>SUBTOTAL (2)</t>
  </si>
  <si>
    <t>MATERIALES (3)</t>
  </si>
  <si>
    <t>UNIDAD</t>
  </si>
  <si>
    <t>P. UNITARIO</t>
  </si>
  <si>
    <t>PRY=Yd/Q</t>
  </si>
  <si>
    <t>PRY*Vi%</t>
  </si>
  <si>
    <t>Perfil de aluminio anonizado natural tipo standar</t>
  </si>
  <si>
    <t>m</t>
  </si>
  <si>
    <t>421901045</t>
  </si>
  <si>
    <t>Vidrio flotado claro 6mm</t>
  </si>
  <si>
    <t>371140011</t>
  </si>
  <si>
    <t>Tornillos de sujeción</t>
  </si>
  <si>
    <t>lb</t>
  </si>
  <si>
    <t>4299217247</t>
  </si>
  <si>
    <t>Silicon</t>
  </si>
  <si>
    <t>u</t>
  </si>
  <si>
    <t>347905211</t>
  </si>
  <si>
    <t>Cerradura tipo pomo - llave - seguro</t>
  </si>
  <si>
    <t>Panel de aluminio compuesto</t>
  </si>
  <si>
    <t>SUBTOTAL (3)</t>
  </si>
  <si>
    <t>TRANSPORTE (4)</t>
  </si>
  <si>
    <t>DISTANCIA</t>
  </si>
  <si>
    <t>PRZ=Zd/Q</t>
  </si>
  <si>
    <t>PRZ*Vi%</t>
  </si>
  <si>
    <t>SUBTOTAL (4)</t>
  </si>
  <si>
    <t>ELABORADO POR:</t>
  </si>
  <si>
    <t>TOTAL COSTO DIRECTO  (1+2+3+4)</t>
  </si>
  <si>
    <t>COSTO INDIRECTO %</t>
  </si>
  <si>
    <t>Peso relativo componentes</t>
  </si>
  <si>
    <t>VAE RUBRO</t>
  </si>
  <si>
    <t>COSTO TOTAL DEL RUBRO:</t>
  </si>
  <si>
    <t xml:space="preserve"> VALOR OFERTADO:</t>
  </si>
  <si>
    <t>LOS PRECIOS NO INCLUYEN IVA</t>
  </si>
  <si>
    <t>Ciento ochenta y ocho coma cuarenta y siete</t>
  </si>
  <si>
    <t>ING. FRANKLIN RECALDE</t>
  </si>
  <si>
    <t>RESUMEN</t>
  </si>
  <si>
    <t>Trasnporte ejemplo</t>
  </si>
  <si>
    <t>"PROYECTO EJEMPLO"</t>
  </si>
  <si>
    <t>RUBRO 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</si>
</sst>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###,##0.00"/>
    <numFmt numFmtId="166" formatCode="###,##0.000"/>
    <numFmt numFmtId="167" formatCode="0.00000%"/>
    <numFmt numFmtId="168" formatCode="##,###,##0.00"/>
    <numFmt numFmtId="169" formatCode="###.##0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63"/>
      <name val="Times New Roman"/>
      <family val="1"/>
    </font>
    <font>
      <sz val="12"/>
      <color indexed="63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09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2" borderId="0" xfId="2" applyFont="1" applyFill="1" applyAlignment="1">
      <alignment horizontal="center" vertical="center"/>
    </xf>
    <xf numFmtId="0" fontId="4" fillId="2" borderId="7" xfId="2" applyFont="1" applyFill="1" applyBorder="1" applyAlignment="1">
      <alignment vertical="center"/>
    </xf>
    <xf numFmtId="0" fontId="4" fillId="2" borderId="0" xfId="2" applyFont="1" applyFill="1" applyAlignment="1">
      <alignment vertical="center" wrapText="1"/>
    </xf>
    <xf numFmtId="0" fontId="4" fillId="2" borderId="8" xfId="2" applyFont="1" applyFill="1" applyBorder="1" applyAlignment="1">
      <alignment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9" fillId="2" borderId="0" xfId="2" applyFont="1" applyFill="1" applyAlignment="1">
      <alignment vertical="center"/>
    </xf>
    <xf numFmtId="0" fontId="10" fillId="0" borderId="4" xfId="0" applyFont="1" applyBorder="1" applyAlignment="1">
      <alignment vertical="center"/>
    </xf>
    <xf numFmtId="164" fontId="11" fillId="0" borderId="6" xfId="0" applyNumberFormat="1" applyFont="1" applyBorder="1" applyAlignment="1">
      <alignment horizontal="left" vertical="center"/>
    </xf>
    <xf numFmtId="0" fontId="9" fillId="2" borderId="0" xfId="2" applyFont="1" applyFill="1" applyAlignment="1">
      <alignment horizontal="center"/>
    </xf>
    <xf numFmtId="0" fontId="9" fillId="2" borderId="0" xfId="2" applyFont="1" applyFill="1"/>
    <xf numFmtId="0" fontId="9" fillId="2" borderId="9" xfId="2" applyFont="1" applyFill="1" applyBorder="1"/>
    <xf numFmtId="0" fontId="9" fillId="2" borderId="1" xfId="2" applyFont="1" applyFill="1" applyBorder="1"/>
    <xf numFmtId="0" fontId="9" fillId="2" borderId="0" xfId="3" applyFont="1" applyFill="1" applyAlignment="1">
      <alignment vertical="center"/>
    </xf>
    <xf numFmtId="0" fontId="8" fillId="2" borderId="14" xfId="3" applyFont="1" applyFill="1" applyBorder="1" applyAlignment="1">
      <alignment horizontal="left" vertical="center"/>
    </xf>
    <xf numFmtId="0" fontId="8" fillId="2" borderId="15" xfId="3" applyFont="1" applyFill="1" applyBorder="1" applyAlignment="1">
      <alignment horizontal="center" vertical="center"/>
    </xf>
    <xf numFmtId="0" fontId="8" fillId="2" borderId="16" xfId="3" applyFont="1" applyFill="1" applyBorder="1" applyAlignment="1">
      <alignment horizontal="center" vertical="center"/>
    </xf>
    <xf numFmtId="0" fontId="8" fillId="2" borderId="17" xfId="3" applyFont="1" applyFill="1" applyBorder="1" applyAlignment="1">
      <alignment horizontal="center" vertical="center"/>
    </xf>
    <xf numFmtId="0" fontId="8" fillId="2" borderId="19" xfId="3" applyFont="1" applyFill="1" applyBorder="1" applyAlignment="1">
      <alignment horizontal="center" vertical="center" wrapText="1"/>
    </xf>
    <xf numFmtId="0" fontId="8" fillId="2" borderId="19" xfId="3" applyFont="1" applyFill="1" applyBorder="1" applyAlignment="1">
      <alignment horizontal="center" vertical="center"/>
    </xf>
    <xf numFmtId="0" fontId="8" fillId="2" borderId="20" xfId="3" applyFont="1" applyFill="1" applyBorder="1" applyAlignment="1">
      <alignment horizontal="center" vertical="center" wrapText="1"/>
    </xf>
    <xf numFmtId="0" fontId="8" fillId="2" borderId="0" xfId="3" applyFont="1" applyFill="1" applyAlignment="1">
      <alignment horizontal="center" vertical="center"/>
    </xf>
    <xf numFmtId="0" fontId="9" fillId="2" borderId="18" xfId="3" applyFont="1" applyFill="1" applyBorder="1" applyAlignment="1">
      <alignment horizontal="left" vertical="center"/>
    </xf>
    <xf numFmtId="0" fontId="9" fillId="2" borderId="15" xfId="3" applyFont="1" applyFill="1" applyBorder="1" applyAlignment="1">
      <alignment horizontal="center" vertical="center"/>
    </xf>
    <xf numFmtId="0" fontId="9" fillId="2" borderId="16" xfId="3" applyFont="1" applyFill="1" applyBorder="1" applyAlignment="1">
      <alignment horizontal="center" vertical="center"/>
    </xf>
    <xf numFmtId="0" fontId="9" fillId="2" borderId="17" xfId="3" applyFont="1" applyFill="1" applyBorder="1" applyAlignment="1">
      <alignment horizontal="center" vertical="center"/>
    </xf>
    <xf numFmtId="0" fontId="9" fillId="2" borderId="19" xfId="3" applyFont="1" applyFill="1" applyBorder="1" applyAlignment="1">
      <alignment horizontal="center" vertical="center"/>
    </xf>
    <xf numFmtId="0" fontId="9" fillId="2" borderId="20" xfId="3" applyFont="1" applyFill="1" applyBorder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0" fontId="9" fillId="2" borderId="7" xfId="4" applyFont="1" applyFill="1" applyBorder="1" applyAlignment="1">
      <alignment horizontal="left" vertical="center"/>
    </xf>
    <xf numFmtId="165" fontId="9" fillId="2" borderId="21" xfId="4" applyNumberFormat="1" applyFont="1" applyFill="1" applyBorder="1" applyAlignment="1">
      <alignment horizontal="right" vertical="center"/>
    </xf>
    <xf numFmtId="165" fontId="9" fillId="2" borderId="0" xfId="4" applyNumberFormat="1" applyFont="1" applyFill="1" applyAlignment="1">
      <alignment horizontal="right" vertical="center"/>
    </xf>
    <xf numFmtId="165" fontId="9" fillId="2" borderId="22" xfId="4" applyNumberFormat="1" applyFont="1" applyFill="1" applyBorder="1" applyAlignment="1">
      <alignment horizontal="right" vertical="center"/>
    </xf>
    <xf numFmtId="165" fontId="9" fillId="2" borderId="23" xfId="4" applyNumberFormat="1" applyFont="1" applyFill="1" applyBorder="1" applyAlignment="1">
      <alignment horizontal="right" vertical="center"/>
    </xf>
    <xf numFmtId="0" fontId="9" fillId="2" borderId="19" xfId="4" applyFont="1" applyFill="1" applyBorder="1" applyAlignment="1">
      <alignment horizontal="center" vertical="center"/>
    </xf>
    <xf numFmtId="165" fontId="9" fillId="2" borderId="19" xfId="4" applyNumberFormat="1" applyFont="1" applyFill="1" applyBorder="1" applyAlignment="1">
      <alignment horizontal="center" vertical="center"/>
    </xf>
    <xf numFmtId="10" fontId="4" fillId="2" borderId="19" xfId="4" applyNumberFormat="1" applyFont="1" applyFill="1" applyBorder="1" applyAlignment="1">
      <alignment horizontal="center" vertical="center"/>
    </xf>
    <xf numFmtId="167" fontId="4" fillId="2" borderId="20" xfId="4" applyNumberFormat="1" applyFont="1" applyFill="1" applyBorder="1" applyAlignment="1">
      <alignment horizontal="center" vertical="center"/>
    </xf>
    <xf numFmtId="10" fontId="9" fillId="2" borderId="19" xfId="4" applyNumberFormat="1" applyFont="1" applyFill="1" applyBorder="1" applyAlignment="1">
      <alignment horizontal="center" vertical="center"/>
    </xf>
    <xf numFmtId="167" fontId="9" fillId="2" borderId="20" xfId="4" applyNumberFormat="1" applyFont="1" applyFill="1" applyBorder="1" applyAlignment="1">
      <alignment horizontal="center" vertical="center"/>
    </xf>
    <xf numFmtId="0" fontId="9" fillId="2" borderId="24" xfId="4" applyFont="1" applyFill="1" applyBorder="1" applyAlignment="1">
      <alignment horizontal="left" vertical="center"/>
    </xf>
    <xf numFmtId="165" fontId="9" fillId="2" borderId="15" xfId="4" applyNumberFormat="1" applyFont="1" applyFill="1" applyBorder="1" applyAlignment="1">
      <alignment horizontal="right" vertical="center"/>
    </xf>
    <xf numFmtId="165" fontId="8" fillId="2" borderId="20" xfId="4" applyNumberFormat="1" applyFont="1" applyFill="1" applyBorder="1" applyAlignment="1">
      <alignment vertical="center"/>
    </xf>
    <xf numFmtId="165" fontId="8" fillId="2" borderId="19" xfId="4" applyNumberFormat="1" applyFont="1" applyFill="1" applyBorder="1" applyAlignment="1">
      <alignment vertical="center"/>
    </xf>
    <xf numFmtId="165" fontId="8" fillId="2" borderId="19" xfId="4" applyNumberFormat="1" applyFont="1" applyFill="1" applyBorder="1" applyAlignment="1">
      <alignment horizontal="center" vertical="center"/>
    </xf>
    <xf numFmtId="167" fontId="8" fillId="2" borderId="20" xfId="4" applyNumberFormat="1" applyFont="1" applyFill="1" applyBorder="1" applyAlignment="1">
      <alignment horizontal="center" vertical="center"/>
    </xf>
    <xf numFmtId="165" fontId="8" fillId="2" borderId="0" xfId="4" applyNumberFormat="1" applyFont="1" applyFill="1" applyAlignment="1">
      <alignment vertical="center"/>
    </xf>
    <xf numFmtId="0" fontId="9" fillId="2" borderId="0" xfId="4" applyFont="1" applyFill="1" applyAlignment="1">
      <alignment vertical="center"/>
    </xf>
    <xf numFmtId="0" fontId="9" fillId="2" borderId="16" xfId="4" applyFont="1" applyFill="1" applyBorder="1" applyAlignment="1">
      <alignment vertical="center"/>
    </xf>
    <xf numFmtId="0" fontId="8" fillId="2" borderId="25" xfId="3" applyFont="1" applyFill="1" applyBorder="1" applyAlignment="1">
      <alignment horizontal="left" vertical="center"/>
    </xf>
    <xf numFmtId="0" fontId="8" fillId="2" borderId="29" xfId="3" applyFont="1" applyFill="1" applyBorder="1" applyAlignment="1">
      <alignment horizontal="center" vertical="center"/>
    </xf>
    <xf numFmtId="0" fontId="8" fillId="2" borderId="28" xfId="3" applyFont="1" applyFill="1" applyBorder="1" applyAlignment="1">
      <alignment horizontal="center" vertical="center"/>
    </xf>
    <xf numFmtId="0" fontId="9" fillId="2" borderId="15" xfId="4" applyFont="1" applyFill="1" applyBorder="1" applyAlignment="1">
      <alignment horizontal="center" vertical="center"/>
    </xf>
    <xf numFmtId="0" fontId="9" fillId="2" borderId="29" xfId="4" applyFont="1" applyFill="1" applyBorder="1" applyAlignment="1">
      <alignment horizontal="center" vertical="center"/>
    </xf>
    <xf numFmtId="0" fontId="9" fillId="2" borderId="20" xfId="4" applyFont="1" applyFill="1" applyBorder="1" applyAlignment="1">
      <alignment horizontal="center" vertical="center"/>
    </xf>
    <xf numFmtId="0" fontId="9" fillId="2" borderId="0" xfId="4" applyFont="1" applyFill="1" applyAlignment="1">
      <alignment horizontal="center" vertical="center"/>
    </xf>
    <xf numFmtId="165" fontId="9" fillId="2" borderId="30" xfId="4" applyNumberFormat="1" applyFont="1" applyFill="1" applyBorder="1" applyAlignment="1">
      <alignment horizontal="right" vertical="center"/>
    </xf>
    <xf numFmtId="49" fontId="9" fillId="2" borderId="19" xfId="4" applyNumberFormat="1" applyFont="1" applyFill="1" applyBorder="1" applyAlignment="1">
      <alignment horizontal="center" vertical="center"/>
    </xf>
    <xf numFmtId="168" fontId="9" fillId="2" borderId="22" xfId="4" applyNumberFormat="1" applyFont="1" applyFill="1" applyBorder="1" applyAlignment="1">
      <alignment horizontal="right" vertical="center"/>
    </xf>
    <xf numFmtId="0" fontId="8" fillId="2" borderId="24" xfId="3" applyFont="1" applyFill="1" applyBorder="1" applyAlignment="1">
      <alignment horizontal="left" vertical="center"/>
    </xf>
    <xf numFmtId="0" fontId="9" fillId="2" borderId="25" xfId="4" applyFont="1" applyFill="1" applyBorder="1" applyAlignment="1">
      <alignment horizontal="left" vertical="center"/>
    </xf>
    <xf numFmtId="0" fontId="9" fillId="2" borderId="27" xfId="4" applyFont="1" applyFill="1" applyBorder="1" applyAlignment="1">
      <alignment horizontal="left" vertical="center"/>
    </xf>
    <xf numFmtId="0" fontId="9" fillId="2" borderId="32" xfId="4" applyFont="1" applyFill="1" applyBorder="1" applyAlignment="1">
      <alignment horizontal="left" vertical="center"/>
    </xf>
    <xf numFmtId="165" fontId="9" fillId="2" borderId="22" xfId="4" applyNumberFormat="1" applyFont="1" applyFill="1" applyBorder="1" applyAlignment="1">
      <alignment horizontal="center" vertical="center"/>
    </xf>
    <xf numFmtId="166" fontId="9" fillId="2" borderId="22" xfId="4" applyNumberFormat="1" applyFont="1" applyFill="1" applyBorder="1" applyAlignment="1">
      <alignment horizontal="right" vertical="center"/>
    </xf>
    <xf numFmtId="0" fontId="9" fillId="2" borderId="29" xfId="4" applyFont="1" applyFill="1" applyBorder="1" applyAlignment="1">
      <alignment horizontal="left" vertical="center"/>
    </xf>
    <xf numFmtId="165" fontId="9" fillId="2" borderId="0" xfId="4" applyNumberFormat="1" applyFont="1" applyFill="1" applyAlignment="1">
      <alignment vertical="center"/>
    </xf>
    <xf numFmtId="165" fontId="8" fillId="2" borderId="17" xfId="3" applyNumberFormat="1" applyFont="1" applyFill="1" applyBorder="1" applyAlignment="1">
      <alignment horizontal="center" vertical="center"/>
    </xf>
    <xf numFmtId="165" fontId="8" fillId="2" borderId="0" xfId="3" applyNumberFormat="1" applyFont="1" applyFill="1" applyAlignment="1">
      <alignment horizontal="center" vertical="center"/>
    </xf>
    <xf numFmtId="0" fontId="9" fillId="2" borderId="14" xfId="4" applyFont="1" applyFill="1" applyBorder="1" applyAlignment="1">
      <alignment horizontal="left" vertical="center"/>
    </xf>
    <xf numFmtId="0" fontId="9" fillId="2" borderId="16" xfId="4" applyFont="1" applyFill="1" applyBorder="1" applyAlignment="1">
      <alignment horizontal="left" vertical="center"/>
    </xf>
    <xf numFmtId="0" fontId="9" fillId="2" borderId="16" xfId="4" applyFont="1" applyFill="1" applyBorder="1" applyAlignment="1">
      <alignment horizontal="center" vertical="center"/>
    </xf>
    <xf numFmtId="165" fontId="9" fillId="2" borderId="17" xfId="4" applyNumberFormat="1" applyFont="1" applyFill="1" applyBorder="1" applyAlignment="1">
      <alignment horizontal="center" vertical="center"/>
    </xf>
    <xf numFmtId="165" fontId="9" fillId="2" borderId="0" xfId="4" applyNumberFormat="1" applyFont="1" applyFill="1" applyAlignment="1">
      <alignment horizontal="center" vertical="center"/>
    </xf>
    <xf numFmtId="0" fontId="9" fillId="2" borderId="33" xfId="4" applyFont="1" applyFill="1" applyBorder="1" applyAlignment="1">
      <alignment horizontal="left" vertical="center"/>
    </xf>
    <xf numFmtId="0" fontId="9" fillId="2" borderId="34" xfId="4" applyFont="1" applyFill="1" applyBorder="1" applyAlignment="1">
      <alignment horizontal="left" vertical="center"/>
    </xf>
    <xf numFmtId="169" fontId="9" fillId="2" borderId="30" xfId="4" applyNumberFormat="1" applyFont="1" applyFill="1" applyBorder="1" applyAlignment="1">
      <alignment horizontal="center" vertical="center"/>
    </xf>
    <xf numFmtId="165" fontId="9" fillId="2" borderId="19" xfId="4" applyNumberFormat="1" applyFont="1" applyFill="1" applyBorder="1" applyAlignment="1">
      <alignment horizontal="right" vertical="center"/>
    </xf>
    <xf numFmtId="165" fontId="9" fillId="2" borderId="20" xfId="4" applyNumberFormat="1" applyFont="1" applyFill="1" applyBorder="1" applyAlignment="1">
      <alignment horizontal="right" vertical="center"/>
    </xf>
    <xf numFmtId="0" fontId="9" fillId="2" borderId="35" xfId="4" applyFont="1" applyFill="1" applyBorder="1" applyAlignment="1">
      <alignment horizontal="left" vertical="center"/>
    </xf>
    <xf numFmtId="0" fontId="9" fillId="2" borderId="22" xfId="4" applyFont="1" applyFill="1" applyBorder="1" applyAlignment="1">
      <alignment horizontal="center" vertical="center"/>
    </xf>
    <xf numFmtId="165" fontId="9" fillId="2" borderId="17" xfId="4" applyNumberFormat="1" applyFont="1" applyFill="1" applyBorder="1" applyAlignment="1">
      <alignment horizontal="right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8" xfId="4" applyFont="1" applyFill="1" applyBorder="1" applyAlignment="1">
      <alignment horizontal="center" vertical="center"/>
    </xf>
    <xf numFmtId="166" fontId="9" fillId="2" borderId="28" xfId="4" applyNumberFormat="1" applyFont="1" applyFill="1" applyBorder="1" applyAlignment="1">
      <alignment vertical="center"/>
    </xf>
    <xf numFmtId="166" fontId="9" fillId="2" borderId="0" xfId="4" applyNumberFormat="1" applyFont="1" applyFill="1" applyAlignment="1">
      <alignment vertical="center"/>
    </xf>
    <xf numFmtId="9" fontId="8" fillId="2" borderId="27" xfId="1" applyFont="1" applyFill="1" applyBorder="1" applyAlignment="1" applyProtection="1">
      <alignment horizontal="center" vertical="center"/>
    </xf>
    <xf numFmtId="166" fontId="9" fillId="2" borderId="39" xfId="4" applyNumberFormat="1" applyFont="1" applyFill="1" applyBorder="1" applyAlignment="1">
      <alignment vertical="center"/>
    </xf>
    <xf numFmtId="166" fontId="9" fillId="2" borderId="40" xfId="4" applyNumberFormat="1" applyFont="1" applyFill="1" applyBorder="1" applyAlignment="1">
      <alignment vertical="center"/>
    </xf>
    <xf numFmtId="166" fontId="9" fillId="2" borderId="38" xfId="4" applyNumberFormat="1" applyFont="1" applyFill="1" applyBorder="1" applyAlignment="1">
      <alignment vertical="center"/>
    </xf>
    <xf numFmtId="166" fontId="9" fillId="2" borderId="20" xfId="4" applyNumberFormat="1" applyFont="1" applyFill="1" applyBorder="1" applyAlignment="1">
      <alignment vertical="center"/>
    </xf>
    <xf numFmtId="166" fontId="9" fillId="2" borderId="41" xfId="4" applyNumberFormat="1" applyFont="1" applyFill="1" applyBorder="1" applyAlignment="1">
      <alignment vertical="center"/>
    </xf>
    <xf numFmtId="166" fontId="9" fillId="2" borderId="32" xfId="4" applyNumberFormat="1" applyFont="1" applyFill="1" applyBorder="1" applyAlignment="1">
      <alignment vertical="center"/>
    </xf>
    <xf numFmtId="10" fontId="8" fillId="2" borderId="36" xfId="4" applyNumberFormat="1" applyFont="1" applyFill="1" applyBorder="1" applyAlignment="1">
      <alignment horizontal="center" vertical="center"/>
    </xf>
    <xf numFmtId="10" fontId="8" fillId="2" borderId="16" xfId="4" applyNumberFormat="1" applyFont="1" applyFill="1" applyBorder="1" applyAlignment="1">
      <alignment horizontal="center" vertical="center"/>
    </xf>
    <xf numFmtId="10" fontId="8" fillId="2" borderId="29" xfId="4" applyNumberFormat="1" applyFont="1" applyFill="1" applyBorder="1" applyAlignment="1">
      <alignment horizontal="center" vertical="center"/>
    </xf>
    <xf numFmtId="10" fontId="8" fillId="2" borderId="20" xfId="4" applyNumberFormat="1" applyFont="1" applyFill="1" applyBorder="1" applyAlignment="1">
      <alignment horizontal="center" vertical="center"/>
    </xf>
    <xf numFmtId="0" fontId="2" fillId="2" borderId="1" xfId="4" applyFont="1" applyFill="1" applyBorder="1"/>
    <xf numFmtId="0" fontId="2" fillId="2" borderId="10" xfId="4" applyFont="1" applyFill="1" applyBorder="1"/>
    <xf numFmtId="0" fontId="2" fillId="2" borderId="0" xfId="4" applyFont="1" applyFill="1"/>
    <xf numFmtId="0" fontId="9" fillId="2" borderId="8" xfId="2" applyFont="1" applyFill="1" applyBorder="1" applyAlignment="1">
      <alignment vertical="center"/>
    </xf>
    <xf numFmtId="0" fontId="4" fillId="2" borderId="0" xfId="2" applyFont="1" applyFill="1" applyBorder="1" applyAlignment="1">
      <alignment vertical="center" wrapText="1"/>
    </xf>
    <xf numFmtId="0" fontId="8" fillId="2" borderId="0" xfId="2" applyFont="1" applyFill="1" applyBorder="1" applyAlignment="1">
      <alignment horizontal="right" vertical="center"/>
    </xf>
    <xf numFmtId="0" fontId="9" fillId="2" borderId="0" xfId="2" applyFont="1" applyFill="1" applyBorder="1" applyAlignment="1">
      <alignment horizontal="center" vertical="center" wrapText="1"/>
    </xf>
    <xf numFmtId="0" fontId="9" fillId="2" borderId="0" xfId="2" applyFont="1" applyFill="1" applyBorder="1" applyAlignment="1">
      <alignment vertical="center" wrapText="1"/>
    </xf>
    <xf numFmtId="165" fontId="9" fillId="2" borderId="0" xfId="4" applyNumberFormat="1" applyFont="1" applyFill="1" applyBorder="1" applyAlignment="1">
      <alignment horizontal="right" vertical="center"/>
    </xf>
    <xf numFmtId="166" fontId="9" fillId="2" borderId="0" xfId="4" applyNumberFormat="1" applyFont="1" applyFill="1" applyBorder="1" applyAlignment="1">
      <alignment horizontal="right" vertical="center"/>
    </xf>
    <xf numFmtId="0" fontId="9" fillId="2" borderId="0" xfId="4" applyFont="1" applyFill="1" applyBorder="1" applyAlignment="1">
      <alignment horizontal="left" vertical="center"/>
    </xf>
    <xf numFmtId="0" fontId="9" fillId="2" borderId="0" xfId="4" applyFont="1" applyFill="1" applyBorder="1" applyAlignment="1">
      <alignment horizontal="center" vertical="center"/>
    </xf>
    <xf numFmtId="166" fontId="9" fillId="2" borderId="0" xfId="4" applyNumberFormat="1" applyFont="1" applyFill="1" applyBorder="1" applyAlignment="1">
      <alignment vertical="center"/>
    </xf>
    <xf numFmtId="0" fontId="8" fillId="2" borderId="27" xfId="3" applyFont="1" applyFill="1" applyBorder="1" applyAlignment="1">
      <alignment horizontal="center" vertical="center" wrapText="1"/>
    </xf>
    <xf numFmtId="0" fontId="9" fillId="2" borderId="27" xfId="3" applyFont="1" applyFill="1" applyBorder="1" applyAlignment="1">
      <alignment horizontal="center" vertical="center"/>
    </xf>
    <xf numFmtId="167" fontId="9" fillId="2" borderId="27" xfId="4" applyNumberFormat="1" applyFont="1" applyFill="1" applyBorder="1" applyAlignment="1">
      <alignment horizontal="center" vertical="center"/>
    </xf>
    <xf numFmtId="167" fontId="8" fillId="2" borderId="27" xfId="4" applyNumberFormat="1" applyFont="1" applyFill="1" applyBorder="1" applyAlignment="1">
      <alignment horizontal="center" vertical="center"/>
    </xf>
    <xf numFmtId="10" fontId="9" fillId="2" borderId="27" xfId="4" applyNumberFormat="1" applyFont="1" applyFill="1" applyBorder="1" applyAlignment="1">
      <alignment horizontal="center" vertical="center"/>
    </xf>
    <xf numFmtId="10" fontId="8" fillId="2" borderId="27" xfId="4" applyNumberFormat="1" applyFont="1" applyFill="1" applyBorder="1" applyAlignment="1">
      <alignment horizontal="center" vertical="center"/>
    </xf>
    <xf numFmtId="165" fontId="9" fillId="2" borderId="27" xfId="4" applyNumberFormat="1" applyFont="1" applyFill="1" applyBorder="1" applyAlignment="1">
      <alignment horizontal="right" vertical="center"/>
    </xf>
    <xf numFmtId="165" fontId="8" fillId="2" borderId="27" xfId="4" applyNumberFormat="1" applyFont="1" applyFill="1" applyBorder="1" applyAlignment="1">
      <alignment vertical="center"/>
    </xf>
    <xf numFmtId="166" fontId="9" fillId="2" borderId="44" xfId="4" applyNumberFormat="1" applyFont="1" applyFill="1" applyBorder="1" applyAlignment="1">
      <alignment vertical="center"/>
    </xf>
    <xf numFmtId="0" fontId="2" fillId="2" borderId="9" xfId="0" applyFont="1" applyFill="1" applyBorder="1"/>
    <xf numFmtId="0" fontId="4" fillId="0" borderId="48" xfId="2" applyFont="1" applyBorder="1" applyAlignment="1">
      <alignment vertical="center" wrapText="1"/>
    </xf>
    <xf numFmtId="0" fontId="4" fillId="0" borderId="49" xfId="2" applyFont="1" applyBorder="1" applyAlignment="1">
      <alignment vertical="center" wrapText="1"/>
    </xf>
    <xf numFmtId="0" fontId="4" fillId="0" borderId="50" xfId="2" applyFont="1" applyBorder="1" applyAlignment="1">
      <alignment vertical="center" wrapText="1"/>
    </xf>
    <xf numFmtId="0" fontId="6" fillId="0" borderId="51" xfId="2" applyFont="1" applyBorder="1" applyAlignment="1">
      <alignment horizontal="center" vertical="center" wrapText="1"/>
    </xf>
    <xf numFmtId="0" fontId="6" fillId="0" borderId="52" xfId="2" applyFont="1" applyBorder="1" applyAlignment="1">
      <alignment horizontal="center" vertical="center" wrapText="1"/>
    </xf>
    <xf numFmtId="0" fontId="6" fillId="0" borderId="53" xfId="2" applyFont="1" applyBorder="1" applyAlignment="1">
      <alignment horizontal="center" vertical="center" wrapText="1"/>
    </xf>
    <xf numFmtId="0" fontId="7" fillId="0" borderId="51" xfId="2" applyFont="1" applyBorder="1" applyAlignment="1">
      <alignment horizontal="center"/>
    </xf>
    <xf numFmtId="0" fontId="7" fillId="0" borderId="52" xfId="2" applyFont="1" applyBorder="1" applyAlignment="1">
      <alignment horizontal="center"/>
    </xf>
    <xf numFmtId="0" fontId="7" fillId="0" borderId="53" xfId="2" applyFont="1" applyBorder="1" applyAlignment="1">
      <alignment horizontal="center"/>
    </xf>
    <xf numFmtId="0" fontId="9" fillId="0" borderId="51" xfId="2" applyFont="1" applyBorder="1" applyAlignment="1">
      <alignment vertical="center"/>
    </xf>
    <xf numFmtId="0" fontId="9" fillId="0" borderId="52" xfId="2" applyFont="1" applyBorder="1" applyAlignment="1">
      <alignment vertical="center"/>
    </xf>
    <xf numFmtId="0" fontId="9" fillId="0" borderId="53" xfId="2" applyFont="1" applyBorder="1" applyAlignment="1">
      <alignment vertical="center"/>
    </xf>
    <xf numFmtId="0" fontId="9" fillId="0" borderId="51" xfId="2" applyFont="1" applyBorder="1"/>
    <xf numFmtId="0" fontId="9" fillId="0" borderId="52" xfId="2" applyFont="1" applyBorder="1"/>
    <xf numFmtId="0" fontId="9" fillId="0" borderId="53" xfId="2" applyFont="1" applyBorder="1"/>
    <xf numFmtId="0" fontId="9" fillId="0" borderId="54" xfId="2" applyFont="1" applyBorder="1" applyAlignment="1">
      <alignment horizontal="center"/>
    </xf>
    <xf numFmtId="0" fontId="9" fillId="0" borderId="55" xfId="2" applyFont="1" applyBorder="1" applyAlignment="1">
      <alignment horizontal="center"/>
    </xf>
    <xf numFmtId="0" fontId="9" fillId="0" borderId="56" xfId="2" applyFont="1" applyBorder="1" applyAlignment="1">
      <alignment horizontal="center"/>
    </xf>
    <xf numFmtId="0" fontId="8" fillId="2" borderId="42" xfId="2" applyFont="1" applyFill="1" applyBorder="1"/>
    <xf numFmtId="0" fontId="8" fillId="2" borderId="42" xfId="2" applyFont="1" applyFill="1" applyBorder="1" applyAlignment="1">
      <alignment horizontal="center"/>
    </xf>
    <xf numFmtId="0" fontId="8" fillId="2" borderId="7" xfId="2" applyFont="1" applyFill="1" applyBorder="1" applyAlignment="1">
      <alignment horizontal="right" vertical="center"/>
    </xf>
    <xf numFmtId="0" fontId="5" fillId="2" borderId="7" xfId="2" applyFont="1" applyFill="1" applyBorder="1" applyAlignment="1">
      <alignment horizontal="right" vertical="center"/>
    </xf>
    <xf numFmtId="0" fontId="8" fillId="3" borderId="11" xfId="3" applyFont="1" applyFill="1" applyBorder="1" applyAlignment="1">
      <alignment vertical="center"/>
    </xf>
    <xf numFmtId="0" fontId="9" fillId="3" borderId="12" xfId="3" applyFont="1" applyFill="1" applyBorder="1" applyAlignment="1">
      <alignment vertical="center"/>
    </xf>
    <xf numFmtId="0" fontId="9" fillId="3" borderId="13" xfId="3" applyFont="1" applyFill="1" applyBorder="1" applyAlignment="1">
      <alignment vertical="center"/>
    </xf>
    <xf numFmtId="0" fontId="9" fillId="3" borderId="43" xfId="3" applyFont="1" applyFill="1" applyBorder="1" applyAlignment="1">
      <alignment vertical="center"/>
    </xf>
    <xf numFmtId="0" fontId="9" fillId="3" borderId="44" xfId="3" applyFont="1" applyFill="1" applyBorder="1" applyAlignment="1">
      <alignment vertical="center"/>
    </xf>
    <xf numFmtId="0" fontId="8" fillId="3" borderId="24" xfId="4" applyFont="1" applyFill="1" applyBorder="1" applyAlignment="1">
      <alignment vertical="center"/>
    </xf>
    <xf numFmtId="0" fontId="9" fillId="3" borderId="0" xfId="4" applyFont="1" applyFill="1" applyBorder="1" applyAlignment="1">
      <alignment vertical="center"/>
    </xf>
    <xf numFmtId="0" fontId="9" fillId="3" borderId="16" xfId="4" applyFont="1" applyFill="1" applyBorder="1" applyAlignment="1">
      <alignment vertical="center"/>
    </xf>
    <xf numFmtId="0" fontId="9" fillId="3" borderId="28" xfId="4" applyFont="1" applyFill="1" applyBorder="1" applyAlignment="1">
      <alignment vertical="center"/>
    </xf>
    <xf numFmtId="0" fontId="9" fillId="3" borderId="8" xfId="4" applyFont="1" applyFill="1" applyBorder="1" applyAlignment="1">
      <alignment vertical="center"/>
    </xf>
    <xf numFmtId="0" fontId="8" fillId="3" borderId="25" xfId="4" applyFont="1" applyFill="1" applyBorder="1" applyAlignment="1">
      <alignment vertical="center"/>
    </xf>
    <xf numFmtId="0" fontId="9" fillId="3" borderId="26" xfId="4" applyFont="1" applyFill="1" applyBorder="1" applyAlignment="1">
      <alignment vertical="center"/>
    </xf>
    <xf numFmtId="0" fontId="9" fillId="3" borderId="31" xfId="4" applyFont="1" applyFill="1" applyBorder="1" applyAlignment="1">
      <alignment vertical="center"/>
    </xf>
    <xf numFmtId="0" fontId="9" fillId="3" borderId="26" xfId="4" applyFont="1" applyFill="1" applyBorder="1" applyAlignment="1">
      <alignment horizontal="center" vertical="center"/>
    </xf>
    <xf numFmtId="165" fontId="9" fillId="3" borderId="31" xfId="4" applyNumberFormat="1" applyFont="1" applyFill="1" applyBorder="1" applyAlignment="1">
      <alignment vertical="center"/>
    </xf>
    <xf numFmtId="165" fontId="9" fillId="3" borderId="0" xfId="4" applyNumberFormat="1" applyFont="1" applyFill="1" applyBorder="1" applyAlignment="1">
      <alignment vertical="center"/>
    </xf>
    <xf numFmtId="165" fontId="9" fillId="3" borderId="8" xfId="4" applyNumberFormat="1" applyFont="1" applyFill="1" applyBorder="1" applyAlignment="1">
      <alignment vertical="center"/>
    </xf>
    <xf numFmtId="0" fontId="9" fillId="3" borderId="0" xfId="4" applyFont="1" applyFill="1" applyBorder="1" applyAlignment="1">
      <alignment horizontal="center" vertical="center"/>
    </xf>
    <xf numFmtId="0" fontId="9" fillId="3" borderId="8" xfId="4" applyFont="1" applyFill="1" applyBorder="1" applyAlignment="1">
      <alignment horizontal="center" vertical="center"/>
    </xf>
    <xf numFmtId="166" fontId="9" fillId="2" borderId="2" xfId="4" applyNumberFormat="1" applyFont="1" applyFill="1" applyBorder="1" applyAlignment="1">
      <alignment vertical="center"/>
    </xf>
    <xf numFmtId="166" fontId="9" fillId="2" borderId="3" xfId="4" applyNumberFormat="1" applyFont="1" applyFill="1" applyBorder="1" applyAlignment="1">
      <alignment vertical="center"/>
    </xf>
    <xf numFmtId="0" fontId="9" fillId="2" borderId="25" xfId="4" applyFont="1" applyFill="1" applyBorder="1" applyAlignment="1">
      <alignment horizontal="right" vertical="center"/>
    </xf>
    <xf numFmtId="0" fontId="9" fillId="2" borderId="26" xfId="4" applyFont="1" applyFill="1" applyBorder="1" applyAlignment="1">
      <alignment horizontal="right" vertical="center"/>
    </xf>
    <xf numFmtId="0" fontId="9" fillId="2" borderId="27" xfId="4" applyFont="1" applyFill="1" applyBorder="1" applyAlignment="1">
      <alignment horizontal="right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6" fillId="2" borderId="0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/>
    </xf>
    <xf numFmtId="0" fontId="7" fillId="2" borderId="0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9" fillId="2" borderId="0" xfId="2" applyFont="1" applyFill="1" applyBorder="1" applyAlignment="1">
      <alignment horizontal="center" vertical="center" wrapText="1"/>
    </xf>
    <xf numFmtId="164" fontId="9" fillId="2" borderId="57" xfId="2" applyNumberFormat="1" applyFont="1" applyFill="1" applyBorder="1" applyAlignment="1">
      <alignment horizontal="center" vertical="center"/>
    </xf>
    <xf numFmtId="164" fontId="9" fillId="2" borderId="58" xfId="2" applyNumberFormat="1" applyFont="1" applyFill="1" applyBorder="1" applyAlignment="1">
      <alignment horizontal="center" vertical="center"/>
    </xf>
    <xf numFmtId="165" fontId="9" fillId="2" borderId="57" xfId="2" applyNumberFormat="1" applyFont="1" applyFill="1" applyBorder="1" applyAlignment="1">
      <alignment horizontal="center" vertical="center"/>
    </xf>
    <xf numFmtId="0" fontId="9" fillId="2" borderId="58" xfId="2" applyFont="1" applyFill="1" applyBorder="1" applyAlignment="1">
      <alignment horizontal="center" vertical="center"/>
    </xf>
    <xf numFmtId="0" fontId="8" fillId="2" borderId="25" xfId="4" applyFont="1" applyFill="1" applyBorder="1" applyAlignment="1">
      <alignment horizontal="right" vertical="center"/>
    </xf>
    <xf numFmtId="0" fontId="8" fillId="2" borderId="26" xfId="4" applyFont="1" applyFill="1" applyBorder="1" applyAlignment="1">
      <alignment horizontal="right" vertical="center"/>
    </xf>
    <xf numFmtId="0" fontId="8" fillId="2" borderId="27" xfId="4" applyFont="1" applyFill="1" applyBorder="1" applyAlignment="1">
      <alignment horizontal="right" vertical="center"/>
    </xf>
    <xf numFmtId="0" fontId="8" fillId="2" borderId="16" xfId="4" applyFont="1" applyFill="1" applyBorder="1" applyAlignment="1">
      <alignment horizontal="right" vertical="center"/>
    </xf>
    <xf numFmtId="0" fontId="9" fillId="3" borderId="37" xfId="4" applyFont="1" applyFill="1" applyBorder="1" applyAlignment="1">
      <alignment horizontal="left" vertical="center"/>
    </xf>
    <xf numFmtId="0" fontId="9" fillId="3" borderId="40" xfId="4" applyFont="1" applyFill="1" applyBorder="1" applyAlignment="1">
      <alignment horizontal="left" vertical="center"/>
    </xf>
    <xf numFmtId="0" fontId="9" fillId="3" borderId="46" xfId="4" applyFont="1" applyFill="1" applyBorder="1" applyAlignment="1">
      <alignment horizontal="left" vertical="center"/>
    </xf>
    <xf numFmtId="0" fontId="11" fillId="2" borderId="45" xfId="4" applyFont="1" applyFill="1" applyBorder="1" applyAlignment="1">
      <alignment horizontal="center"/>
    </xf>
    <xf numFmtId="0" fontId="11" fillId="2" borderId="44" xfId="4" applyFont="1" applyFill="1" applyBorder="1" applyAlignment="1">
      <alignment horizontal="center"/>
    </xf>
    <xf numFmtId="0" fontId="9" fillId="2" borderId="45" xfId="4" applyFont="1" applyFill="1" applyBorder="1" applyAlignment="1">
      <alignment horizontal="left" vertical="center"/>
    </xf>
    <xf numFmtId="0" fontId="9" fillId="2" borderId="43" xfId="4" applyFont="1" applyFill="1" applyBorder="1" applyAlignment="1">
      <alignment horizontal="left" vertical="center"/>
    </xf>
    <xf numFmtId="0" fontId="9" fillId="2" borderId="47" xfId="4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4" xfId="4" applyFont="1" applyFill="1" applyBorder="1" applyAlignment="1">
      <alignment vertical="center"/>
    </xf>
    <xf numFmtId="0" fontId="9" fillId="2" borderId="16" xfId="4" applyFont="1" applyFill="1" applyBorder="1" applyAlignment="1">
      <alignment vertical="center"/>
    </xf>
    <xf numFmtId="166" fontId="9" fillId="2" borderId="20" xfId="4" applyNumberFormat="1" applyFont="1" applyFill="1" applyBorder="1" applyAlignment="1">
      <alignment horizontal="center" vertical="center"/>
    </xf>
    <xf numFmtId="0" fontId="8" fillId="2" borderId="24" xfId="4" applyFont="1" applyFill="1" applyBorder="1" applyAlignment="1">
      <alignment vertical="center"/>
    </xf>
    <xf numFmtId="0" fontId="8" fillId="2" borderId="16" xfId="4" applyFont="1" applyFill="1" applyBorder="1" applyAlignment="1">
      <alignment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0" xfId="4" applyFont="1" applyFill="1" applyBorder="1" applyAlignment="1">
      <alignment horizontal="center" vertical="center"/>
    </xf>
    <xf numFmtId="0" fontId="9" fillId="2" borderId="8" xfId="4" applyFont="1" applyFill="1" applyBorder="1" applyAlignment="1">
      <alignment horizontal="center" vertical="center"/>
    </xf>
    <xf numFmtId="166" fontId="9" fillId="2" borderId="27" xfId="4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_Hoja1" xfId="2" xr:uid="{3D1EB6A1-7025-475D-A152-8E27DAE72269}"/>
    <cellStyle name="Normal_Hoja1_Hoja1" xfId="3" xr:uid="{C01BF851-50BF-452A-8CEF-D6EFC3EDCA28}"/>
    <cellStyle name="Normal_Hoja1_Hoja3" xfId="4" xr:uid="{FE1F030D-3C8B-4574-9170-FA7706E8CBD3}"/>
    <cellStyle name="Porcentaje" xfId="1" builtinId="5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37EB-6603-45A5-B79C-435DEE0B8367}">
  <sheetPr>
    <pageSetUpPr fitToPage="1"/>
  </sheetPr>
  <dimension ref="A1:S66"/>
  <sheetViews>
    <sheetView tabSelected="1" zoomScale="70" zoomScaleNormal="70" zoomScaleSheetLayoutView="80" workbookViewId="0">
      <pane xSplit="1" topLeftCell="B1" activePane="topRight" state="frozen"/>
      <selection activeCell="A18" sqref="A18"/>
      <selection pane="topRight" activeCell="C64" sqref="C64:F64"/>
    </sheetView>
  </sheetViews>
  <sheetFormatPr baseColWidth="10" defaultColWidth="8.85546875" defaultRowHeight="15.75" x14ac:dyDescent="0.25"/>
  <cols>
    <col min="1" max="1" width="50.7109375" style="2" customWidth="1"/>
    <col min="2" max="2" width="17.7109375" style="2" customWidth="1"/>
    <col min="3" max="3" width="15.7109375" style="2" customWidth="1"/>
    <col min="4" max="4" width="16" style="2" bestFit="1" customWidth="1"/>
    <col min="5" max="5" width="16.28515625" style="2" customWidth="1"/>
    <col min="6" max="6" width="19" style="2" customWidth="1"/>
    <col min="7" max="7" width="18.28515625" style="2" customWidth="1"/>
    <col min="8" max="8" width="15.28515625" style="2" bestFit="1" customWidth="1"/>
    <col min="9" max="10" width="12.28515625" style="2" customWidth="1"/>
    <col min="11" max="11" width="13.7109375" style="2" customWidth="1"/>
    <col min="12" max="16" width="5" style="1" customWidth="1"/>
    <col min="17" max="17" width="6.85546875" style="2" customWidth="1"/>
    <col min="18" max="18" width="17.42578125" style="2" bestFit="1" customWidth="1"/>
    <col min="19" max="19" width="6.85546875" style="2" bestFit="1" customWidth="1"/>
    <col min="20" max="20" width="3.7109375" style="2" customWidth="1"/>
    <col min="21" max="16384" width="8.85546875" style="2"/>
  </cols>
  <sheetData>
    <row r="1" spans="1:19" ht="61.5" customHeight="1" thickBot="1" x14ac:dyDescent="0.3">
      <c r="A1" s="169" t="s">
        <v>0</v>
      </c>
      <c r="B1" s="170"/>
      <c r="C1" s="170"/>
      <c r="D1" s="170"/>
      <c r="E1" s="170"/>
      <c r="F1" s="171"/>
      <c r="G1" s="169" t="s">
        <v>1</v>
      </c>
      <c r="H1" s="170"/>
      <c r="I1" s="170"/>
      <c r="J1" s="170"/>
      <c r="K1" s="171"/>
      <c r="L1" s="3"/>
      <c r="M1" s="3"/>
      <c r="N1" s="3"/>
      <c r="O1" s="3"/>
      <c r="P1" s="3"/>
    </row>
    <row r="2" spans="1:19" ht="8.4499999999999993" customHeight="1" thickBot="1" x14ac:dyDescent="0.3">
      <c r="A2" s="4"/>
      <c r="B2" s="104"/>
      <c r="C2" s="104"/>
      <c r="D2" s="104"/>
      <c r="E2" s="104"/>
      <c r="F2" s="6"/>
      <c r="G2" s="123"/>
      <c r="H2" s="124"/>
      <c r="I2" s="124"/>
      <c r="J2" s="124"/>
      <c r="K2" s="125"/>
      <c r="L2" s="5"/>
      <c r="M2" s="5"/>
      <c r="N2" s="5"/>
      <c r="O2" s="5"/>
      <c r="P2" s="5"/>
    </row>
    <row r="3" spans="1:19" ht="63" customHeight="1" thickBot="1" x14ac:dyDescent="0.3">
      <c r="A3" s="144" t="s">
        <v>2</v>
      </c>
      <c r="B3" s="172" t="s">
        <v>83</v>
      </c>
      <c r="C3" s="172" t="s">
        <v>3</v>
      </c>
      <c r="D3" s="172" t="s">
        <v>3</v>
      </c>
      <c r="E3" s="172" t="s">
        <v>3</v>
      </c>
      <c r="F3" s="173" t="s">
        <v>3</v>
      </c>
      <c r="G3" s="126"/>
      <c r="H3" s="127"/>
      <c r="I3" s="127"/>
      <c r="J3" s="127"/>
      <c r="K3" s="128"/>
      <c r="L3" s="7"/>
      <c r="M3" s="7"/>
      <c r="N3" s="7"/>
      <c r="O3" s="7"/>
      <c r="P3" s="7"/>
    </row>
    <row r="4" spans="1:19" ht="4.1500000000000004" customHeight="1" thickBot="1" x14ac:dyDescent="0.3">
      <c r="A4" s="174"/>
      <c r="B4" s="175"/>
      <c r="C4" s="175"/>
      <c r="D4" s="175"/>
      <c r="E4" s="175"/>
      <c r="F4" s="176"/>
      <c r="G4" s="129"/>
      <c r="H4" s="130"/>
      <c r="I4" s="130"/>
      <c r="J4" s="130"/>
      <c r="K4" s="131"/>
      <c r="L4" s="8"/>
      <c r="M4" s="8"/>
      <c r="N4" s="8"/>
      <c r="O4" s="8"/>
      <c r="P4" s="8"/>
    </row>
    <row r="5" spans="1:19" ht="56.25" customHeight="1" thickBot="1" x14ac:dyDescent="0.3">
      <c r="A5" s="143" t="s">
        <v>4</v>
      </c>
      <c r="B5" s="177" t="s">
        <v>84</v>
      </c>
      <c r="C5" s="177" t="s">
        <v>5</v>
      </c>
      <c r="D5" s="177" t="s">
        <v>5</v>
      </c>
      <c r="E5" s="105" t="s">
        <v>6</v>
      </c>
      <c r="F5" s="103" t="s">
        <v>7</v>
      </c>
      <c r="G5" s="132"/>
      <c r="H5" s="133"/>
      <c r="I5" s="133"/>
      <c r="J5" s="133"/>
      <c r="K5" s="134"/>
      <c r="L5" s="9"/>
      <c r="M5" s="9"/>
      <c r="N5" s="9"/>
      <c r="O5" s="9"/>
      <c r="P5" s="9"/>
      <c r="R5" s="10" t="s">
        <v>8</v>
      </c>
      <c r="S5" s="11">
        <v>4</v>
      </c>
    </row>
    <row r="6" spans="1:19" ht="28.5" customHeight="1" thickBot="1" x14ac:dyDescent="0.3">
      <c r="A6" s="143"/>
      <c r="B6" s="106"/>
      <c r="C6" s="106"/>
      <c r="D6" s="106"/>
      <c r="E6" s="142" t="s">
        <v>9</v>
      </c>
      <c r="F6" s="141" t="s">
        <v>10</v>
      </c>
      <c r="G6" s="135"/>
      <c r="H6" s="136"/>
      <c r="I6" s="136"/>
      <c r="J6" s="136"/>
      <c r="K6" s="137"/>
      <c r="L6" s="13"/>
      <c r="M6" s="13"/>
      <c r="N6" s="13"/>
      <c r="O6" s="13"/>
      <c r="P6" s="13"/>
    </row>
    <row r="7" spans="1:19" ht="16.5" thickBot="1" x14ac:dyDescent="0.3">
      <c r="A7" s="143" t="s">
        <v>11</v>
      </c>
      <c r="B7" s="107" t="s">
        <v>12</v>
      </c>
      <c r="C7" s="107"/>
      <c r="D7" s="107"/>
      <c r="E7" s="178">
        <v>4</v>
      </c>
      <c r="F7" s="180">
        <f>+F63</f>
        <v>188.47</v>
      </c>
      <c r="G7" s="135"/>
      <c r="H7" s="136"/>
      <c r="I7" s="136"/>
      <c r="J7" s="136"/>
      <c r="K7" s="137"/>
      <c r="L7" s="13"/>
      <c r="M7" s="13"/>
      <c r="N7" s="13"/>
      <c r="O7" s="13"/>
      <c r="P7" s="13"/>
    </row>
    <row r="8" spans="1:19" ht="16.5" thickBot="1" x14ac:dyDescent="0.3">
      <c r="A8" s="14"/>
      <c r="B8" s="15"/>
      <c r="C8" s="15"/>
      <c r="D8" s="15"/>
      <c r="E8" s="179"/>
      <c r="F8" s="181"/>
      <c r="G8" s="138"/>
      <c r="H8" s="139"/>
      <c r="I8" s="139"/>
      <c r="J8" s="139"/>
      <c r="K8" s="140"/>
      <c r="L8" s="12"/>
      <c r="M8" s="12"/>
      <c r="N8" s="12"/>
      <c r="O8" s="12"/>
      <c r="P8" s="12"/>
    </row>
    <row r="9" spans="1:19" ht="25.5" customHeight="1" x14ac:dyDescent="0.25">
      <c r="A9" s="145" t="s">
        <v>13</v>
      </c>
      <c r="B9" s="146"/>
      <c r="C9" s="146"/>
      <c r="D9" s="146"/>
      <c r="E9" s="146"/>
      <c r="F9" s="147"/>
      <c r="G9" s="148"/>
      <c r="H9" s="148"/>
      <c r="I9" s="148"/>
      <c r="J9" s="148"/>
      <c r="K9" s="149"/>
      <c r="L9" s="16"/>
      <c r="M9" s="16"/>
      <c r="N9" s="16"/>
      <c r="O9" s="16"/>
      <c r="P9" s="16"/>
    </row>
    <row r="10" spans="1:19" ht="47.25" x14ac:dyDescent="0.25">
      <c r="A10" s="17" t="s">
        <v>14</v>
      </c>
      <c r="B10" s="18" t="s">
        <v>15</v>
      </c>
      <c r="C10" s="19" t="s">
        <v>16</v>
      </c>
      <c r="D10" s="18" t="s">
        <v>17</v>
      </c>
      <c r="E10" s="19" t="s">
        <v>8</v>
      </c>
      <c r="F10" s="20" t="s">
        <v>18</v>
      </c>
      <c r="G10" s="113" t="s">
        <v>19</v>
      </c>
      <c r="H10" s="21" t="s">
        <v>20</v>
      </c>
      <c r="I10" s="22" t="s">
        <v>21</v>
      </c>
      <c r="J10" s="22" t="s">
        <v>22</v>
      </c>
      <c r="K10" s="23" t="s">
        <v>23</v>
      </c>
      <c r="L10" s="24"/>
      <c r="M10" s="24"/>
      <c r="N10" s="24"/>
      <c r="O10" s="24"/>
      <c r="P10" s="24"/>
    </row>
    <row r="11" spans="1:19" x14ac:dyDescent="0.25">
      <c r="A11" s="25"/>
      <c r="B11" s="26" t="s">
        <v>24</v>
      </c>
      <c r="C11" s="27" t="s">
        <v>25</v>
      </c>
      <c r="D11" s="26" t="s">
        <v>26</v>
      </c>
      <c r="E11" s="27" t="s">
        <v>27</v>
      </c>
      <c r="F11" s="28" t="s">
        <v>28</v>
      </c>
      <c r="G11" s="114" t="s">
        <v>29</v>
      </c>
      <c r="H11" s="29" t="s">
        <v>30</v>
      </c>
      <c r="I11" s="29" t="s">
        <v>30</v>
      </c>
      <c r="J11" s="29" t="s">
        <v>31</v>
      </c>
      <c r="K11" s="30" t="s">
        <v>32</v>
      </c>
      <c r="L11" s="31"/>
      <c r="M11" s="31"/>
      <c r="N11" s="31"/>
      <c r="O11" s="31"/>
      <c r="P11" s="31"/>
    </row>
    <row r="12" spans="1:19" x14ac:dyDescent="0.25">
      <c r="A12" s="32" t="s">
        <v>33</v>
      </c>
      <c r="B12" s="33">
        <v>1</v>
      </c>
      <c r="C12" s="108">
        <v>0.9</v>
      </c>
      <c r="D12" s="35">
        <f t="shared" ref="D12:D14" si="0">+B12*C12</f>
        <v>0.9</v>
      </c>
      <c r="E12" s="109">
        <f>IF(B12&gt;0,$S$5,0)</f>
        <v>4</v>
      </c>
      <c r="F12" s="36">
        <f t="shared" ref="F12:F14" si="1">+D12*E12</f>
        <v>3.6</v>
      </c>
      <c r="G12" s="115">
        <f>+F12/$F$60</f>
        <v>2.2921176620399848E-2</v>
      </c>
      <c r="H12" s="37">
        <v>4299217233</v>
      </c>
      <c r="I12" s="38" t="str">
        <f>+IF(J12=100%,"EP",IF(J12=0%,"NP","ND"))</f>
        <v>ND</v>
      </c>
      <c r="J12" s="39">
        <v>0.4</v>
      </c>
      <c r="K12" s="40">
        <f>+G12*J12</f>
        <v>9.1684706481599387E-3</v>
      </c>
      <c r="L12" s="34"/>
      <c r="M12" s="34"/>
      <c r="N12" s="34"/>
      <c r="O12" s="34"/>
      <c r="P12" s="34"/>
    </row>
    <row r="13" spans="1:19" x14ac:dyDescent="0.25">
      <c r="A13" s="32" t="s">
        <v>34</v>
      </c>
      <c r="B13" s="35">
        <v>1</v>
      </c>
      <c r="C13" s="108">
        <v>1</v>
      </c>
      <c r="D13" s="35">
        <f t="shared" si="0"/>
        <v>1</v>
      </c>
      <c r="E13" s="109">
        <f>IF(B13&gt;0,$S$5,0)</f>
        <v>4</v>
      </c>
      <c r="F13" s="36">
        <f t="shared" si="1"/>
        <v>4</v>
      </c>
      <c r="G13" s="115">
        <f t="shared" ref="G13:G14" si="2">+F13/$F$60</f>
        <v>2.5467974022666498E-2</v>
      </c>
      <c r="H13" s="37">
        <v>444610013</v>
      </c>
      <c r="I13" s="38" t="str">
        <f t="shared" ref="I13:I14" si="3">+IF(J13=100%,"EP",IF(J13=0%,"NP","ND"))</f>
        <v>ND</v>
      </c>
      <c r="J13" s="41">
        <v>0.4</v>
      </c>
      <c r="K13" s="42">
        <f t="shared" ref="K13:K14" si="4">+G13*J13</f>
        <v>1.01871896090666E-2</v>
      </c>
      <c r="L13" s="34"/>
      <c r="M13" s="34"/>
      <c r="N13" s="34"/>
      <c r="O13" s="34"/>
      <c r="P13" s="34"/>
    </row>
    <row r="14" spans="1:19" x14ac:dyDescent="0.25">
      <c r="A14" s="32" t="s">
        <v>35</v>
      </c>
      <c r="B14" s="35">
        <v>1</v>
      </c>
      <c r="C14" s="108">
        <v>0.6</v>
      </c>
      <c r="D14" s="35">
        <f t="shared" si="0"/>
        <v>0.6</v>
      </c>
      <c r="E14" s="109">
        <f>IF(B14&gt;0,$S$5,0)</f>
        <v>4</v>
      </c>
      <c r="F14" s="36">
        <f t="shared" si="1"/>
        <v>2.4</v>
      </c>
      <c r="G14" s="115">
        <f t="shared" si="2"/>
        <v>1.5280784413599898E-2</v>
      </c>
      <c r="H14" s="37">
        <v>444610013</v>
      </c>
      <c r="I14" s="38" t="str">
        <f t="shared" si="3"/>
        <v>ND</v>
      </c>
      <c r="J14" s="41">
        <v>0.4</v>
      </c>
      <c r="K14" s="42">
        <f t="shared" si="4"/>
        <v>6.1123137654399591E-3</v>
      </c>
      <c r="L14" s="34"/>
      <c r="M14" s="34"/>
      <c r="N14" s="34"/>
      <c r="O14" s="34"/>
      <c r="P14" s="34"/>
    </row>
    <row r="15" spans="1:19" x14ac:dyDescent="0.25">
      <c r="A15" s="32"/>
      <c r="B15" s="35"/>
      <c r="C15" s="108"/>
      <c r="D15" s="35"/>
      <c r="E15" s="109"/>
      <c r="F15" s="36"/>
      <c r="G15" s="115"/>
      <c r="H15" s="37"/>
      <c r="I15" s="38"/>
      <c r="J15" s="41"/>
      <c r="K15" s="42"/>
      <c r="L15" s="34"/>
      <c r="M15" s="34"/>
      <c r="N15" s="34"/>
      <c r="O15" s="34"/>
      <c r="P15" s="34"/>
    </row>
    <row r="16" spans="1:19" x14ac:dyDescent="0.25">
      <c r="A16" s="32"/>
      <c r="B16" s="35"/>
      <c r="C16" s="108"/>
      <c r="D16" s="35"/>
      <c r="E16" s="109"/>
      <c r="F16" s="36"/>
      <c r="G16" s="115"/>
      <c r="H16" s="37"/>
      <c r="I16" s="38"/>
      <c r="J16" s="41"/>
      <c r="K16" s="42"/>
      <c r="L16" s="34"/>
      <c r="M16" s="34"/>
      <c r="N16" s="34"/>
      <c r="O16" s="34"/>
      <c r="P16" s="34"/>
    </row>
    <row r="17" spans="1:18" x14ac:dyDescent="0.25">
      <c r="A17" s="43"/>
      <c r="B17" s="44"/>
      <c r="C17" s="108"/>
      <c r="D17" s="35"/>
      <c r="E17" s="109"/>
      <c r="F17" s="36"/>
      <c r="G17" s="115"/>
      <c r="H17" s="37"/>
      <c r="I17" s="38"/>
      <c r="J17" s="41"/>
      <c r="K17" s="42"/>
      <c r="L17" s="34"/>
      <c r="M17" s="34"/>
      <c r="N17" s="34"/>
      <c r="O17" s="34"/>
      <c r="P17" s="34"/>
    </row>
    <row r="18" spans="1:18" x14ac:dyDescent="0.25">
      <c r="A18" s="182" t="s">
        <v>37</v>
      </c>
      <c r="B18" s="183"/>
      <c r="C18" s="183"/>
      <c r="D18" s="183"/>
      <c r="E18" s="184"/>
      <c r="F18" s="45">
        <f>SUM(F12:F17)</f>
        <v>10</v>
      </c>
      <c r="G18" s="116">
        <f>SUM(G12:G17)</f>
        <v>6.3669935056666238E-2</v>
      </c>
      <c r="H18" s="46"/>
      <c r="I18" s="47"/>
      <c r="J18" s="46"/>
      <c r="K18" s="48">
        <f>SUM(K12:K17)</f>
        <v>2.5467974022666498E-2</v>
      </c>
      <c r="L18" s="49"/>
      <c r="M18" s="49"/>
      <c r="N18" s="49"/>
      <c r="O18" s="49"/>
      <c r="P18" s="49"/>
    </row>
    <row r="19" spans="1:18" x14ac:dyDescent="0.25">
      <c r="A19" s="150" t="s">
        <v>38</v>
      </c>
      <c r="B19" s="151"/>
      <c r="C19" s="152"/>
      <c r="D19" s="152"/>
      <c r="E19" s="152"/>
      <c r="F19" s="153"/>
      <c r="G19" s="151"/>
      <c r="H19" s="151"/>
      <c r="I19" s="151"/>
      <c r="J19" s="151"/>
      <c r="K19" s="154"/>
      <c r="L19" s="50"/>
      <c r="M19" s="50"/>
      <c r="N19" s="50"/>
      <c r="O19" s="50"/>
      <c r="P19" s="50"/>
    </row>
    <row r="20" spans="1:18" ht="47.25" x14ac:dyDescent="0.25">
      <c r="A20" s="52" t="s">
        <v>14</v>
      </c>
      <c r="B20" s="22" t="s">
        <v>15</v>
      </c>
      <c r="C20" s="53" t="s">
        <v>39</v>
      </c>
      <c r="D20" s="53" t="s">
        <v>17</v>
      </c>
      <c r="E20" s="53" t="s">
        <v>8</v>
      </c>
      <c r="F20" s="54" t="s">
        <v>18</v>
      </c>
      <c r="G20" s="113" t="s">
        <v>19</v>
      </c>
      <c r="H20" s="21" t="s">
        <v>20</v>
      </c>
      <c r="I20" s="22" t="s">
        <v>21</v>
      </c>
      <c r="J20" s="22" t="s">
        <v>22</v>
      </c>
      <c r="K20" s="23" t="s">
        <v>23</v>
      </c>
      <c r="L20" s="24"/>
      <c r="M20" s="24"/>
      <c r="N20" s="24"/>
      <c r="O20" s="24"/>
      <c r="P20" s="24"/>
    </row>
    <row r="21" spans="1:18" x14ac:dyDescent="0.25">
      <c r="A21" s="43"/>
      <c r="B21" s="55" t="s">
        <v>24</v>
      </c>
      <c r="C21" s="56" t="s">
        <v>25</v>
      </c>
      <c r="D21" s="37" t="s">
        <v>26</v>
      </c>
      <c r="E21" s="56" t="s">
        <v>27</v>
      </c>
      <c r="F21" s="57" t="s">
        <v>28</v>
      </c>
      <c r="G21" s="114" t="s">
        <v>40</v>
      </c>
      <c r="H21" s="29" t="s">
        <v>30</v>
      </c>
      <c r="I21" s="29" t="s">
        <v>30</v>
      </c>
      <c r="J21" s="29" t="s">
        <v>31</v>
      </c>
      <c r="K21" s="30" t="s">
        <v>41</v>
      </c>
      <c r="L21" s="58"/>
      <c r="M21" s="58"/>
      <c r="N21" s="58"/>
      <c r="O21" s="58"/>
      <c r="P21" s="58"/>
    </row>
    <row r="22" spans="1:18" x14ac:dyDescent="0.25">
      <c r="A22" s="32" t="s">
        <v>42</v>
      </c>
      <c r="B22" s="59">
        <v>0.1</v>
      </c>
      <c r="C22" s="59">
        <v>4.75</v>
      </c>
      <c r="D22" s="33">
        <f t="shared" ref="D22:D25" si="5">+B22*C22</f>
        <v>0.47500000000000003</v>
      </c>
      <c r="E22" s="59">
        <f>IF(B22&gt;0,$S$5,0)</f>
        <v>4</v>
      </c>
      <c r="F22" s="36">
        <f t="shared" ref="F22:F25" si="6">+D22*E22</f>
        <v>1.9000000000000001</v>
      </c>
      <c r="G22" s="117">
        <f>+F22/$F$60</f>
        <v>1.2097287660766587E-2</v>
      </c>
      <c r="H22" s="60">
        <v>851230012</v>
      </c>
      <c r="I22" s="38" t="str">
        <f>+IF(J22=100%,"EP",IF(J22=0%,"NP","ND"))</f>
        <v>EP</v>
      </c>
      <c r="J22" s="41">
        <v>1</v>
      </c>
      <c r="K22" s="42">
        <f>+G22*J22</f>
        <v>1.2097287660766587E-2</v>
      </c>
      <c r="L22" s="34"/>
      <c r="M22" s="34"/>
      <c r="N22" s="34"/>
      <c r="O22" s="34"/>
      <c r="P22" s="34"/>
    </row>
    <row r="23" spans="1:18" x14ac:dyDescent="0.25">
      <c r="A23" s="32" t="s">
        <v>43</v>
      </c>
      <c r="B23" s="35">
        <v>2</v>
      </c>
      <c r="C23" s="35">
        <v>4.28</v>
      </c>
      <c r="D23" s="35">
        <f t="shared" si="5"/>
        <v>8.56</v>
      </c>
      <c r="E23" s="35">
        <f>IF(B23&gt;0,$S$5,0)</f>
        <v>4</v>
      </c>
      <c r="F23" s="36">
        <f t="shared" si="6"/>
        <v>34.24</v>
      </c>
      <c r="G23" s="117">
        <f>+F23/$F$60</f>
        <v>0.21800585763402522</v>
      </c>
      <c r="H23" s="60">
        <v>851230012</v>
      </c>
      <c r="I23" s="38" t="str">
        <f t="shared" ref="I23:I24" si="7">+IF(J23=100%,"EP",IF(J23=0%,"NP","ND"))</f>
        <v>EP</v>
      </c>
      <c r="J23" s="41">
        <v>1</v>
      </c>
      <c r="K23" s="42">
        <f t="shared" ref="K23:K25" si="8">+G23*J23</f>
        <v>0.21800585763402522</v>
      </c>
      <c r="L23" s="34"/>
      <c r="M23" s="34"/>
      <c r="N23" s="34"/>
      <c r="O23" s="34"/>
      <c r="P23" s="34"/>
    </row>
    <row r="24" spans="1:18" x14ac:dyDescent="0.25">
      <c r="A24" s="32" t="s">
        <v>44</v>
      </c>
      <c r="B24" s="35">
        <v>0.1</v>
      </c>
      <c r="C24" s="35">
        <v>4.75</v>
      </c>
      <c r="D24" s="35">
        <f t="shared" si="5"/>
        <v>0.47500000000000003</v>
      </c>
      <c r="E24" s="35">
        <f>IF(B24&gt;0,$S$5,0)</f>
        <v>4</v>
      </c>
      <c r="F24" s="36">
        <f t="shared" si="6"/>
        <v>1.9000000000000001</v>
      </c>
      <c r="G24" s="117">
        <f>+F24/$F$60</f>
        <v>1.2097287660766587E-2</v>
      </c>
      <c r="H24" s="60">
        <v>851230012</v>
      </c>
      <c r="I24" s="38" t="str">
        <f t="shared" si="7"/>
        <v>EP</v>
      </c>
      <c r="J24" s="41">
        <v>1</v>
      </c>
      <c r="K24" s="42">
        <f t="shared" si="8"/>
        <v>1.2097287660766587E-2</v>
      </c>
      <c r="L24" s="34"/>
      <c r="M24" s="34"/>
      <c r="N24" s="34"/>
      <c r="O24" s="34"/>
      <c r="P24" s="34"/>
    </row>
    <row r="25" spans="1:18" x14ac:dyDescent="0.25">
      <c r="A25" s="32" t="s">
        <v>45</v>
      </c>
      <c r="B25" s="35">
        <v>1</v>
      </c>
      <c r="C25" s="35">
        <v>4.2300000000000004</v>
      </c>
      <c r="D25" s="35">
        <f t="shared" si="5"/>
        <v>4.2300000000000004</v>
      </c>
      <c r="E25" s="35">
        <f>IF(B25&gt;0,$S$5,0)</f>
        <v>4</v>
      </c>
      <c r="F25" s="36">
        <f t="shared" si="6"/>
        <v>16.920000000000002</v>
      </c>
      <c r="G25" s="117">
        <f>+F25/$F$60</f>
        <v>0.1077295301158793</v>
      </c>
      <c r="H25" s="60">
        <v>851230012</v>
      </c>
      <c r="I25" s="38" t="str">
        <f>+IF(J25=100%,"EP",IF(J25=0%,"NP","ND"))</f>
        <v>EP</v>
      </c>
      <c r="J25" s="41">
        <v>1</v>
      </c>
      <c r="K25" s="42">
        <f t="shared" si="8"/>
        <v>0.1077295301158793</v>
      </c>
      <c r="L25" s="34"/>
      <c r="M25" s="34"/>
      <c r="N25" s="34"/>
      <c r="O25" s="34"/>
      <c r="P25" s="34"/>
    </row>
    <row r="26" spans="1:18" x14ac:dyDescent="0.25">
      <c r="A26" s="32"/>
      <c r="B26" s="35"/>
      <c r="C26" s="35"/>
      <c r="D26" s="35"/>
      <c r="E26" s="35"/>
      <c r="F26" s="36"/>
      <c r="G26" s="117"/>
      <c r="H26" s="60"/>
      <c r="I26" s="38"/>
      <c r="J26" s="41"/>
      <c r="K26" s="42"/>
      <c r="L26" s="34"/>
      <c r="M26" s="34"/>
      <c r="N26" s="34"/>
      <c r="O26" s="34"/>
      <c r="P26" s="34"/>
    </row>
    <row r="27" spans="1:18" x14ac:dyDescent="0.25">
      <c r="A27" s="32"/>
      <c r="B27" s="61"/>
      <c r="C27" s="61"/>
      <c r="D27" s="44"/>
      <c r="E27" s="61"/>
      <c r="F27" s="36"/>
      <c r="G27" s="117"/>
      <c r="H27" s="60"/>
      <c r="I27" s="38"/>
      <c r="J27" s="41"/>
      <c r="K27" s="42"/>
      <c r="L27" s="34"/>
      <c r="M27" s="34"/>
      <c r="N27" s="34"/>
      <c r="O27" s="34"/>
      <c r="P27" s="34"/>
    </row>
    <row r="28" spans="1:18" x14ac:dyDescent="0.25">
      <c r="A28" s="182" t="s">
        <v>46</v>
      </c>
      <c r="B28" s="183"/>
      <c r="C28" s="183"/>
      <c r="D28" s="183"/>
      <c r="E28" s="184"/>
      <c r="F28" s="45">
        <f>SUM(F22:F27)</f>
        <v>54.96</v>
      </c>
      <c r="G28" s="118">
        <f>SUM(G22:G27)</f>
        <v>0.3499299630714377</v>
      </c>
      <c r="H28" s="46"/>
      <c r="I28" s="47"/>
      <c r="J28" s="46"/>
      <c r="K28" s="48">
        <f>SUM(K22:K27)</f>
        <v>0.3499299630714377</v>
      </c>
      <c r="L28" s="49"/>
      <c r="M28" s="49"/>
      <c r="N28" s="49"/>
      <c r="O28" s="49"/>
      <c r="P28" s="49"/>
    </row>
    <row r="29" spans="1:18" x14ac:dyDescent="0.25">
      <c r="A29" s="155" t="s">
        <v>47</v>
      </c>
      <c r="B29" s="156"/>
      <c r="C29" s="156"/>
      <c r="D29" s="156"/>
      <c r="E29" s="156"/>
      <c r="F29" s="157"/>
      <c r="G29" s="151"/>
      <c r="H29" s="151"/>
      <c r="I29" s="151"/>
      <c r="J29" s="151"/>
      <c r="K29" s="154"/>
      <c r="L29" s="50"/>
      <c r="M29" s="50"/>
      <c r="N29" s="50"/>
      <c r="O29" s="50"/>
      <c r="P29" s="50"/>
    </row>
    <row r="30" spans="1:18" ht="47.25" x14ac:dyDescent="0.25">
      <c r="A30" s="62" t="s">
        <v>14</v>
      </c>
      <c r="B30" s="53"/>
      <c r="C30" s="53" t="s">
        <v>48</v>
      </c>
      <c r="D30" s="53" t="s">
        <v>15</v>
      </c>
      <c r="E30" s="53" t="s">
        <v>49</v>
      </c>
      <c r="F30" s="54" t="s">
        <v>18</v>
      </c>
      <c r="G30" s="113" t="s">
        <v>19</v>
      </c>
      <c r="H30" s="21" t="s">
        <v>20</v>
      </c>
      <c r="I30" s="22" t="s">
        <v>21</v>
      </c>
      <c r="J30" s="22" t="s">
        <v>22</v>
      </c>
      <c r="K30" s="23" t="s">
        <v>23</v>
      </c>
      <c r="L30" s="24"/>
      <c r="M30" s="24"/>
      <c r="N30" s="24"/>
      <c r="O30" s="24"/>
      <c r="P30" s="24"/>
    </row>
    <row r="31" spans="1:18" x14ac:dyDescent="0.25">
      <c r="A31" s="63"/>
      <c r="B31" s="64"/>
      <c r="C31" s="56"/>
      <c r="D31" s="37" t="s">
        <v>24</v>
      </c>
      <c r="E31" s="56" t="s">
        <v>25</v>
      </c>
      <c r="F31" s="57" t="s">
        <v>26</v>
      </c>
      <c r="G31" s="114" t="s">
        <v>50</v>
      </c>
      <c r="H31" s="29" t="s">
        <v>30</v>
      </c>
      <c r="I31" s="29" t="s">
        <v>30</v>
      </c>
      <c r="J31" s="29" t="s">
        <v>31</v>
      </c>
      <c r="K31" s="30" t="s">
        <v>51</v>
      </c>
      <c r="L31" s="58"/>
      <c r="M31" s="58"/>
      <c r="N31" s="58"/>
      <c r="O31" s="58"/>
      <c r="P31" s="58"/>
    </row>
    <row r="32" spans="1:18" x14ac:dyDescent="0.25">
      <c r="A32" s="32" t="s">
        <v>52</v>
      </c>
      <c r="B32" s="65"/>
      <c r="C32" s="66" t="s">
        <v>53</v>
      </c>
      <c r="D32" s="67">
        <v>2.5</v>
      </c>
      <c r="E32" s="35">
        <v>5</v>
      </c>
      <c r="F32" s="36">
        <f>+D32*E32</f>
        <v>12.5</v>
      </c>
      <c r="G32" s="115">
        <f>+F32/$F$60</f>
        <v>7.9587418820832798E-2</v>
      </c>
      <c r="H32" s="60" t="s">
        <v>54</v>
      </c>
      <c r="I32" s="38" t="str">
        <f>+IF(J32=100%,"EP",IF(J32=0%,"NP","ND"))</f>
        <v>ND</v>
      </c>
      <c r="J32" s="41">
        <v>0.4</v>
      </c>
      <c r="K32" s="42">
        <f>+G32*J32</f>
        <v>3.1834967528333119E-2</v>
      </c>
      <c r="L32" s="34"/>
      <c r="M32" s="34"/>
      <c r="N32" s="34"/>
      <c r="O32" s="34"/>
      <c r="P32" s="34"/>
    </row>
    <row r="33" spans="1:16" x14ac:dyDescent="0.25">
      <c r="A33" s="32" t="s">
        <v>55</v>
      </c>
      <c r="B33" s="65"/>
      <c r="C33" s="66" t="s">
        <v>7</v>
      </c>
      <c r="D33" s="67">
        <v>0.6</v>
      </c>
      <c r="E33" s="35">
        <v>25</v>
      </c>
      <c r="F33" s="36">
        <f t="shared" ref="F33:F50" si="9">+D33*E33</f>
        <v>15</v>
      </c>
      <c r="G33" s="115">
        <f t="shared" ref="G33:G37" si="10">+F33/$F$60</f>
        <v>9.5504902584999357E-2</v>
      </c>
      <c r="H33" s="60" t="s">
        <v>56</v>
      </c>
      <c r="I33" s="38" t="str">
        <f t="shared" ref="I33:I37" si="11">+IF(J33=100%,"EP",IF(J33=0%,"NP","ND"))</f>
        <v>ND</v>
      </c>
      <c r="J33" s="41">
        <v>0.4</v>
      </c>
      <c r="K33" s="42">
        <f t="shared" ref="K33:K37" si="12">+G33*J33</f>
        <v>3.8201961033999747E-2</v>
      </c>
      <c r="L33" s="34"/>
      <c r="M33" s="34"/>
      <c r="N33" s="34"/>
      <c r="O33" s="34"/>
      <c r="P33" s="34"/>
    </row>
    <row r="34" spans="1:16" x14ac:dyDescent="0.25">
      <c r="A34" s="32" t="s">
        <v>57</v>
      </c>
      <c r="B34" s="65"/>
      <c r="C34" s="66" t="s">
        <v>58</v>
      </c>
      <c r="D34" s="67">
        <v>0.5</v>
      </c>
      <c r="E34" s="35">
        <v>4</v>
      </c>
      <c r="F34" s="36">
        <f t="shared" si="9"/>
        <v>2</v>
      </c>
      <c r="G34" s="115">
        <f t="shared" si="10"/>
        <v>1.2733987011333249E-2</v>
      </c>
      <c r="H34" s="60" t="s">
        <v>59</v>
      </c>
      <c r="I34" s="38" t="str">
        <f t="shared" si="11"/>
        <v>ND</v>
      </c>
      <c r="J34" s="41">
        <v>0.4</v>
      </c>
      <c r="K34" s="42">
        <f t="shared" si="12"/>
        <v>5.0935948045333001E-3</v>
      </c>
      <c r="L34" s="34"/>
      <c r="M34" s="34"/>
      <c r="N34" s="34"/>
      <c r="O34" s="34"/>
      <c r="P34" s="34"/>
    </row>
    <row r="35" spans="1:16" x14ac:dyDescent="0.25">
      <c r="A35" s="32" t="s">
        <v>60</v>
      </c>
      <c r="B35" s="65"/>
      <c r="C35" s="66" t="s">
        <v>61</v>
      </c>
      <c r="D35" s="67">
        <v>0.2</v>
      </c>
      <c r="E35" s="35">
        <v>4</v>
      </c>
      <c r="F35" s="36">
        <f t="shared" si="9"/>
        <v>0.8</v>
      </c>
      <c r="G35" s="115">
        <f t="shared" si="10"/>
        <v>5.0935948045332993E-3</v>
      </c>
      <c r="H35" s="60" t="s">
        <v>62</v>
      </c>
      <c r="I35" s="38" t="str">
        <f t="shared" si="11"/>
        <v>ND</v>
      </c>
      <c r="J35" s="41">
        <v>0.2545</v>
      </c>
      <c r="K35" s="42">
        <f t="shared" si="12"/>
        <v>1.2963198777537247E-3</v>
      </c>
      <c r="L35" s="34"/>
      <c r="M35" s="34"/>
      <c r="N35" s="34"/>
      <c r="O35" s="34"/>
      <c r="P35" s="34"/>
    </row>
    <row r="36" spans="1:16" x14ac:dyDescent="0.25">
      <c r="A36" s="32" t="s">
        <v>63</v>
      </c>
      <c r="B36" s="65"/>
      <c r="C36" s="66" t="s">
        <v>61</v>
      </c>
      <c r="D36" s="67">
        <v>1</v>
      </c>
      <c r="E36" s="35">
        <v>17</v>
      </c>
      <c r="F36" s="36">
        <f t="shared" si="9"/>
        <v>17</v>
      </c>
      <c r="G36" s="115">
        <f t="shared" si="10"/>
        <v>0.10823888959633261</v>
      </c>
      <c r="H36" s="60">
        <v>429921113</v>
      </c>
      <c r="I36" s="38" t="str">
        <f t="shared" si="11"/>
        <v>ND</v>
      </c>
      <c r="J36" s="41">
        <v>0.4</v>
      </c>
      <c r="K36" s="42">
        <f t="shared" si="12"/>
        <v>4.3295555838533048E-2</v>
      </c>
      <c r="L36" s="34"/>
      <c r="M36" s="34"/>
      <c r="N36" s="34"/>
      <c r="O36" s="34"/>
      <c r="P36" s="34"/>
    </row>
    <row r="37" spans="1:16" x14ac:dyDescent="0.25">
      <c r="A37" s="32" t="s">
        <v>64</v>
      </c>
      <c r="B37" s="65"/>
      <c r="C37" s="66" t="s">
        <v>7</v>
      </c>
      <c r="D37" s="67">
        <v>0.8</v>
      </c>
      <c r="E37" s="35">
        <v>56</v>
      </c>
      <c r="F37" s="36">
        <f t="shared" si="9"/>
        <v>44.800000000000004</v>
      </c>
      <c r="G37" s="115">
        <f t="shared" si="10"/>
        <v>0.2852413090538648</v>
      </c>
      <c r="H37" s="60" t="s">
        <v>54</v>
      </c>
      <c r="I37" s="38" t="str">
        <f t="shared" si="11"/>
        <v>ND</v>
      </c>
      <c r="J37" s="41">
        <v>0.4</v>
      </c>
      <c r="K37" s="42">
        <f t="shared" si="12"/>
        <v>0.11409652362154593</v>
      </c>
      <c r="L37" s="34"/>
      <c r="M37" s="34"/>
      <c r="N37" s="34"/>
      <c r="O37" s="34"/>
      <c r="P37" s="34"/>
    </row>
    <row r="38" spans="1:16" x14ac:dyDescent="0.25">
      <c r="A38" s="32" t="s">
        <v>36</v>
      </c>
      <c r="B38" s="65"/>
      <c r="C38" s="66"/>
      <c r="D38" s="67"/>
      <c r="E38" s="35">
        <v>0</v>
      </c>
      <c r="F38" s="36">
        <f t="shared" si="9"/>
        <v>0</v>
      </c>
      <c r="G38" s="115"/>
      <c r="H38" s="60"/>
      <c r="I38" s="38"/>
      <c r="J38" s="41"/>
      <c r="K38" s="42"/>
      <c r="L38" s="34"/>
      <c r="M38" s="34"/>
      <c r="N38" s="34"/>
      <c r="O38" s="34"/>
      <c r="P38" s="34"/>
    </row>
    <row r="39" spans="1:16" x14ac:dyDescent="0.25">
      <c r="A39" s="32" t="s">
        <v>36</v>
      </c>
      <c r="B39" s="65"/>
      <c r="C39" s="66"/>
      <c r="D39" s="67"/>
      <c r="E39" s="35">
        <v>0</v>
      </c>
      <c r="F39" s="36">
        <f t="shared" si="9"/>
        <v>0</v>
      </c>
      <c r="G39" s="115"/>
      <c r="H39" s="60"/>
      <c r="I39" s="38"/>
      <c r="J39" s="41"/>
      <c r="K39" s="42"/>
      <c r="L39" s="34"/>
      <c r="M39" s="34"/>
      <c r="N39" s="34"/>
      <c r="O39" s="34"/>
      <c r="P39" s="34"/>
    </row>
    <row r="40" spans="1:16" x14ac:dyDescent="0.25">
      <c r="A40" s="32" t="s">
        <v>36</v>
      </c>
      <c r="B40" s="65"/>
      <c r="C40" s="66"/>
      <c r="D40" s="67"/>
      <c r="E40" s="35">
        <v>0</v>
      </c>
      <c r="F40" s="36">
        <f t="shared" si="9"/>
        <v>0</v>
      </c>
      <c r="G40" s="115"/>
      <c r="H40" s="60"/>
      <c r="I40" s="38"/>
      <c r="J40" s="41"/>
      <c r="K40" s="42"/>
      <c r="L40" s="34"/>
      <c r="M40" s="34"/>
      <c r="N40" s="34"/>
      <c r="O40" s="34"/>
      <c r="P40" s="34"/>
    </row>
    <row r="41" spans="1:16" x14ac:dyDescent="0.25">
      <c r="A41" s="32" t="s">
        <v>36</v>
      </c>
      <c r="B41" s="65"/>
      <c r="C41" s="66"/>
      <c r="D41" s="67">
        <v>0</v>
      </c>
      <c r="E41" s="35">
        <v>0</v>
      </c>
      <c r="F41" s="36">
        <f t="shared" si="9"/>
        <v>0</v>
      </c>
      <c r="G41" s="115"/>
      <c r="H41" s="60"/>
      <c r="I41" s="38"/>
      <c r="J41" s="41"/>
      <c r="K41" s="42"/>
      <c r="L41" s="34"/>
      <c r="M41" s="34"/>
      <c r="N41" s="34"/>
      <c r="O41" s="34"/>
      <c r="P41" s="34"/>
    </row>
    <row r="42" spans="1:16" x14ac:dyDescent="0.25">
      <c r="A42" s="32" t="s">
        <v>36</v>
      </c>
      <c r="B42" s="65"/>
      <c r="C42" s="66"/>
      <c r="D42" s="67">
        <v>0</v>
      </c>
      <c r="E42" s="35">
        <v>0</v>
      </c>
      <c r="F42" s="36">
        <f t="shared" si="9"/>
        <v>0</v>
      </c>
      <c r="G42" s="115"/>
      <c r="H42" s="60"/>
      <c r="I42" s="38"/>
      <c r="J42" s="41"/>
      <c r="K42" s="42"/>
      <c r="L42" s="34"/>
      <c r="M42" s="34"/>
      <c r="N42" s="34"/>
      <c r="O42" s="34"/>
      <c r="P42" s="34"/>
    </row>
    <row r="43" spans="1:16" x14ac:dyDescent="0.25">
      <c r="A43" s="32" t="s">
        <v>36</v>
      </c>
      <c r="B43" s="65"/>
      <c r="C43" s="66"/>
      <c r="D43" s="67">
        <v>0</v>
      </c>
      <c r="E43" s="35">
        <v>0</v>
      </c>
      <c r="F43" s="36">
        <f t="shared" si="9"/>
        <v>0</v>
      </c>
      <c r="G43" s="115"/>
      <c r="H43" s="60"/>
      <c r="I43" s="38"/>
      <c r="J43" s="41"/>
      <c r="K43" s="42"/>
      <c r="L43" s="34"/>
      <c r="M43" s="34"/>
      <c r="N43" s="34"/>
      <c r="O43" s="34"/>
      <c r="P43" s="34"/>
    </row>
    <row r="44" spans="1:16" x14ac:dyDescent="0.25">
      <c r="A44" s="32" t="s">
        <v>36</v>
      </c>
      <c r="B44" s="65"/>
      <c r="C44" s="66"/>
      <c r="D44" s="67">
        <v>0</v>
      </c>
      <c r="E44" s="35">
        <v>0</v>
      </c>
      <c r="F44" s="36">
        <f t="shared" si="9"/>
        <v>0</v>
      </c>
      <c r="G44" s="115"/>
      <c r="H44" s="60"/>
      <c r="I44" s="38"/>
      <c r="J44" s="41"/>
      <c r="K44" s="42"/>
      <c r="L44" s="34"/>
      <c r="M44" s="34"/>
      <c r="N44" s="34"/>
      <c r="O44" s="34"/>
      <c r="P44" s="34"/>
    </row>
    <row r="45" spans="1:16" x14ac:dyDescent="0.25">
      <c r="A45" s="32" t="s">
        <v>36</v>
      </c>
      <c r="B45" s="65"/>
      <c r="C45" s="66"/>
      <c r="D45" s="67">
        <v>0</v>
      </c>
      <c r="E45" s="35">
        <v>0</v>
      </c>
      <c r="F45" s="36">
        <f t="shared" si="9"/>
        <v>0</v>
      </c>
      <c r="G45" s="115"/>
      <c r="H45" s="60"/>
      <c r="I45" s="38"/>
      <c r="J45" s="41"/>
      <c r="K45" s="42"/>
      <c r="L45" s="34"/>
      <c r="M45" s="34"/>
      <c r="N45" s="34"/>
      <c r="O45" s="34"/>
      <c r="P45" s="34"/>
    </row>
    <row r="46" spans="1:16" x14ac:dyDescent="0.25">
      <c r="A46" s="32" t="s">
        <v>36</v>
      </c>
      <c r="B46" s="65"/>
      <c r="C46" s="66"/>
      <c r="D46" s="67">
        <v>0</v>
      </c>
      <c r="E46" s="35">
        <v>0</v>
      </c>
      <c r="F46" s="36">
        <f t="shared" si="9"/>
        <v>0</v>
      </c>
      <c r="G46" s="115"/>
      <c r="H46" s="60"/>
      <c r="I46" s="38"/>
      <c r="J46" s="41"/>
      <c r="K46" s="42"/>
      <c r="L46" s="34"/>
      <c r="M46" s="34"/>
      <c r="N46" s="34"/>
      <c r="O46" s="34"/>
      <c r="P46" s="34"/>
    </row>
    <row r="47" spans="1:16" x14ac:dyDescent="0.25">
      <c r="A47" s="32" t="s">
        <v>36</v>
      </c>
      <c r="B47" s="65"/>
      <c r="C47" s="66"/>
      <c r="D47" s="67">
        <v>0</v>
      </c>
      <c r="E47" s="35">
        <v>0</v>
      </c>
      <c r="F47" s="36">
        <f t="shared" si="9"/>
        <v>0</v>
      </c>
      <c r="G47" s="115"/>
      <c r="H47" s="60"/>
      <c r="I47" s="38"/>
      <c r="J47" s="41"/>
      <c r="K47" s="42"/>
      <c r="L47" s="34"/>
      <c r="M47" s="34"/>
      <c r="N47" s="34"/>
      <c r="O47" s="34"/>
      <c r="P47" s="34"/>
    </row>
    <row r="48" spans="1:16" x14ac:dyDescent="0.25">
      <c r="A48" s="32" t="s">
        <v>36</v>
      </c>
      <c r="B48" s="65"/>
      <c r="C48" s="66"/>
      <c r="D48" s="67">
        <v>0</v>
      </c>
      <c r="E48" s="35">
        <v>0</v>
      </c>
      <c r="F48" s="36">
        <f t="shared" si="9"/>
        <v>0</v>
      </c>
      <c r="G48" s="115"/>
      <c r="H48" s="60"/>
      <c r="I48" s="38"/>
      <c r="J48" s="41"/>
      <c r="K48" s="42"/>
      <c r="L48" s="34"/>
      <c r="M48" s="34"/>
      <c r="N48" s="34"/>
      <c r="O48" s="34"/>
      <c r="P48" s="34"/>
    </row>
    <row r="49" spans="1:16" x14ac:dyDescent="0.25">
      <c r="A49" s="32" t="s">
        <v>36</v>
      </c>
      <c r="B49" s="65"/>
      <c r="C49" s="66"/>
      <c r="D49" s="67">
        <v>0</v>
      </c>
      <c r="E49" s="35">
        <v>0</v>
      </c>
      <c r="F49" s="36">
        <f t="shared" si="9"/>
        <v>0</v>
      </c>
      <c r="G49" s="115"/>
      <c r="H49" s="60"/>
      <c r="I49" s="38"/>
      <c r="J49" s="41"/>
      <c r="K49" s="42"/>
      <c r="L49" s="34"/>
      <c r="M49" s="34"/>
      <c r="N49" s="34"/>
      <c r="O49" s="34"/>
      <c r="P49" s="34"/>
    </row>
    <row r="50" spans="1:16" x14ac:dyDescent="0.25">
      <c r="A50" s="32" t="s">
        <v>36</v>
      </c>
      <c r="B50" s="68"/>
      <c r="C50" s="66"/>
      <c r="D50" s="67">
        <v>0</v>
      </c>
      <c r="E50" s="35">
        <v>0</v>
      </c>
      <c r="F50" s="36">
        <f t="shared" si="9"/>
        <v>0</v>
      </c>
      <c r="G50" s="115"/>
      <c r="H50" s="60"/>
      <c r="I50" s="38"/>
      <c r="J50" s="41"/>
      <c r="K50" s="42"/>
      <c r="L50" s="34"/>
      <c r="M50" s="34"/>
      <c r="N50" s="34"/>
      <c r="O50" s="34"/>
      <c r="P50" s="34"/>
    </row>
    <row r="51" spans="1:16" x14ac:dyDescent="0.25">
      <c r="A51" s="182" t="s">
        <v>65</v>
      </c>
      <c r="B51" s="185"/>
      <c r="C51" s="183"/>
      <c r="D51" s="183"/>
      <c r="E51" s="184"/>
      <c r="F51" s="45">
        <f>SUM(F32:F50)</f>
        <v>92.1</v>
      </c>
      <c r="G51" s="116">
        <f>SUM(G32:G50)</f>
        <v>0.58640010187189606</v>
      </c>
      <c r="H51" s="46"/>
      <c r="I51" s="46"/>
      <c r="J51" s="46"/>
      <c r="K51" s="48">
        <f>SUM(K32:K50)</f>
        <v>0.23381892270469887</v>
      </c>
      <c r="L51" s="49"/>
      <c r="M51" s="49"/>
      <c r="N51" s="49"/>
      <c r="O51" s="49"/>
      <c r="P51" s="49"/>
    </row>
    <row r="52" spans="1:16" x14ac:dyDescent="0.25">
      <c r="A52" s="155" t="s">
        <v>66</v>
      </c>
      <c r="B52" s="156"/>
      <c r="C52" s="158"/>
      <c r="D52" s="156"/>
      <c r="E52" s="156"/>
      <c r="F52" s="159"/>
      <c r="G52" s="160"/>
      <c r="H52" s="160"/>
      <c r="I52" s="160"/>
      <c r="J52" s="160"/>
      <c r="K52" s="161"/>
      <c r="L52" s="69"/>
      <c r="M52" s="69"/>
      <c r="N52" s="69"/>
      <c r="O52" s="69"/>
      <c r="P52" s="69"/>
    </row>
    <row r="53" spans="1:16" ht="47.25" x14ac:dyDescent="0.25">
      <c r="A53" s="17" t="s">
        <v>14</v>
      </c>
      <c r="B53" s="19" t="s">
        <v>48</v>
      </c>
      <c r="C53" s="18" t="s">
        <v>67</v>
      </c>
      <c r="D53" s="19" t="s">
        <v>15</v>
      </c>
      <c r="E53" s="18" t="s">
        <v>16</v>
      </c>
      <c r="F53" s="70" t="s">
        <v>18</v>
      </c>
      <c r="G53" s="113" t="s">
        <v>19</v>
      </c>
      <c r="H53" s="21" t="s">
        <v>20</v>
      </c>
      <c r="I53" s="22" t="s">
        <v>21</v>
      </c>
      <c r="J53" s="22" t="s">
        <v>22</v>
      </c>
      <c r="K53" s="23" t="s">
        <v>23</v>
      </c>
      <c r="L53" s="71"/>
      <c r="M53" s="71"/>
      <c r="N53" s="71"/>
      <c r="O53" s="71"/>
      <c r="P53" s="71"/>
    </row>
    <row r="54" spans="1:16" x14ac:dyDescent="0.25">
      <c r="A54" s="72"/>
      <c r="B54" s="73"/>
      <c r="C54" s="55"/>
      <c r="D54" s="74" t="s">
        <v>24</v>
      </c>
      <c r="E54" s="55" t="s">
        <v>25</v>
      </c>
      <c r="F54" s="75" t="s">
        <v>26</v>
      </c>
      <c r="G54" s="114" t="s">
        <v>68</v>
      </c>
      <c r="H54" s="29" t="s">
        <v>30</v>
      </c>
      <c r="I54" s="29" t="s">
        <v>30</v>
      </c>
      <c r="J54" s="29" t="s">
        <v>31</v>
      </c>
      <c r="K54" s="30" t="s">
        <v>69</v>
      </c>
      <c r="L54" s="76"/>
      <c r="M54" s="76"/>
      <c r="N54" s="76"/>
      <c r="O54" s="76"/>
      <c r="P54" s="76"/>
    </row>
    <row r="55" spans="1:16" x14ac:dyDescent="0.25">
      <c r="A55" s="77" t="s">
        <v>82</v>
      </c>
      <c r="B55" s="78"/>
      <c r="C55" s="79"/>
      <c r="D55" s="35">
        <v>0</v>
      </c>
      <c r="E55" s="79"/>
      <c r="F55" s="36">
        <f>+D55*E55</f>
        <v>0</v>
      </c>
      <c r="G55" s="119"/>
      <c r="H55" s="80"/>
      <c r="I55" s="80"/>
      <c r="J55" s="80"/>
      <c r="K55" s="81"/>
      <c r="L55" s="34"/>
      <c r="M55" s="34"/>
      <c r="N55" s="34"/>
      <c r="O55" s="34"/>
      <c r="P55" s="34"/>
    </row>
    <row r="56" spans="1:16" x14ac:dyDescent="0.25">
      <c r="A56" s="82"/>
      <c r="B56" s="110"/>
      <c r="C56" s="83"/>
      <c r="D56" s="35">
        <v>0</v>
      </c>
      <c r="E56" s="83"/>
      <c r="F56" s="36">
        <f>+D56*E56</f>
        <v>0</v>
      </c>
      <c r="G56" s="119"/>
      <c r="H56" s="80"/>
      <c r="I56" s="80"/>
      <c r="J56" s="80"/>
      <c r="K56" s="81"/>
      <c r="L56" s="34"/>
      <c r="M56" s="34"/>
      <c r="N56" s="34"/>
      <c r="O56" s="34"/>
      <c r="P56" s="34"/>
    </row>
    <row r="57" spans="1:16" x14ac:dyDescent="0.25">
      <c r="A57" s="82"/>
      <c r="B57" s="110"/>
      <c r="C57" s="83"/>
      <c r="D57" s="35">
        <v>0</v>
      </c>
      <c r="E57" s="83"/>
      <c r="F57" s="84">
        <f>+D57*E57</f>
        <v>0</v>
      </c>
      <c r="G57" s="119"/>
      <c r="H57" s="80"/>
      <c r="I57" s="80"/>
      <c r="J57" s="80"/>
      <c r="K57" s="81"/>
      <c r="L57" s="34"/>
      <c r="M57" s="34"/>
      <c r="N57" s="34"/>
      <c r="O57" s="34"/>
      <c r="P57" s="34"/>
    </row>
    <row r="58" spans="1:16" x14ac:dyDescent="0.25">
      <c r="A58" s="166" t="s">
        <v>70</v>
      </c>
      <c r="B58" s="167"/>
      <c r="C58" s="167"/>
      <c r="D58" s="167"/>
      <c r="E58" s="168"/>
      <c r="F58" s="45">
        <v>0</v>
      </c>
      <c r="G58" s="120"/>
      <c r="H58" s="46"/>
      <c r="I58" s="46"/>
      <c r="J58" s="46"/>
      <c r="K58" s="45"/>
      <c r="L58" s="49"/>
      <c r="M58" s="49"/>
      <c r="N58" s="49"/>
      <c r="O58" s="49"/>
      <c r="P58" s="49"/>
    </row>
    <row r="59" spans="1:16" ht="16.5" thickBot="1" x14ac:dyDescent="0.3">
      <c r="A59" s="186" t="s">
        <v>81</v>
      </c>
      <c r="B59" s="187"/>
      <c r="C59" s="187"/>
      <c r="D59" s="187"/>
      <c r="E59" s="187"/>
      <c r="F59" s="188"/>
      <c r="G59" s="162"/>
      <c r="H59" s="162"/>
      <c r="I59" s="162"/>
      <c r="J59" s="162"/>
      <c r="K59" s="163"/>
      <c r="L59" s="58"/>
      <c r="M59" s="58"/>
      <c r="N59" s="58"/>
      <c r="O59" s="58"/>
      <c r="P59" s="58"/>
    </row>
    <row r="60" spans="1:16" x14ac:dyDescent="0.25">
      <c r="A60" s="189" t="s">
        <v>71</v>
      </c>
      <c r="B60" s="190"/>
      <c r="C60" s="191" t="s">
        <v>72</v>
      </c>
      <c r="D60" s="192"/>
      <c r="E60" s="193"/>
      <c r="F60" s="121">
        <f>+F18+F28+F51+F58</f>
        <v>157.06</v>
      </c>
      <c r="G60" s="164"/>
      <c r="H60" s="164"/>
      <c r="I60" s="164"/>
      <c r="J60" s="164"/>
      <c r="K60" s="165"/>
      <c r="L60" s="88"/>
      <c r="M60" s="88"/>
      <c r="N60" s="88"/>
      <c r="O60" s="88"/>
      <c r="P60" s="88"/>
    </row>
    <row r="61" spans="1:16" x14ac:dyDescent="0.25">
      <c r="A61" s="194" t="s">
        <v>80</v>
      </c>
      <c r="B61" s="195"/>
      <c r="C61" s="200" t="s">
        <v>73</v>
      </c>
      <c r="D61" s="201">
        <v>369.61</v>
      </c>
      <c r="E61" s="89">
        <v>0.2</v>
      </c>
      <c r="F61" s="87">
        <f>+F60*E61</f>
        <v>31.412000000000003</v>
      </c>
      <c r="G61" s="208" t="s">
        <v>74</v>
      </c>
      <c r="H61" s="90"/>
      <c r="I61" s="91"/>
      <c r="J61" s="92"/>
      <c r="K61" s="202" t="s">
        <v>75</v>
      </c>
      <c r="L61" s="88"/>
      <c r="M61" s="88"/>
      <c r="N61" s="88"/>
      <c r="O61" s="88"/>
      <c r="P61" s="88"/>
    </row>
    <row r="62" spans="1:16" x14ac:dyDescent="0.25">
      <c r="A62" s="196"/>
      <c r="B62" s="197"/>
      <c r="C62" s="200" t="s">
        <v>76</v>
      </c>
      <c r="D62" s="201"/>
      <c r="E62" s="51"/>
      <c r="F62" s="93">
        <f>+F60+F61</f>
        <v>188.47200000000001</v>
      </c>
      <c r="G62" s="208"/>
      <c r="H62" s="94"/>
      <c r="I62" s="112"/>
      <c r="J62" s="95"/>
      <c r="K62" s="202"/>
      <c r="L62" s="88"/>
      <c r="M62" s="88"/>
      <c r="N62" s="88"/>
      <c r="O62" s="88"/>
      <c r="P62" s="88"/>
    </row>
    <row r="63" spans="1:16" x14ac:dyDescent="0.25">
      <c r="A63" s="196"/>
      <c r="B63" s="197"/>
      <c r="C63" s="203" t="s">
        <v>77</v>
      </c>
      <c r="D63" s="204"/>
      <c r="E63" s="51"/>
      <c r="F63" s="45">
        <f>ROUND(F62,2)</f>
        <v>188.47</v>
      </c>
      <c r="G63" s="118">
        <f>SUM(G18,G28,G51,G58)</f>
        <v>1</v>
      </c>
      <c r="H63" s="96"/>
      <c r="I63" s="97"/>
      <c r="J63" s="98"/>
      <c r="K63" s="99">
        <f t="shared" ref="K63" si="13">SUM(K18,K28,K51,K58)</f>
        <v>0.60921685979880302</v>
      </c>
      <c r="L63" s="49"/>
      <c r="M63" s="49"/>
      <c r="N63" s="49"/>
      <c r="O63" s="49"/>
      <c r="P63" s="49"/>
    </row>
    <row r="64" spans="1:16" x14ac:dyDescent="0.25">
      <c r="A64" s="196"/>
      <c r="B64" s="197"/>
      <c r="C64" s="205" t="s">
        <v>79</v>
      </c>
      <c r="D64" s="206"/>
      <c r="E64" s="206"/>
      <c r="F64" s="207"/>
      <c r="G64" s="205"/>
      <c r="H64" s="206"/>
      <c r="I64" s="206"/>
      <c r="J64" s="206"/>
      <c r="K64" s="86"/>
      <c r="L64" s="58"/>
      <c r="M64" s="58"/>
      <c r="N64" s="58"/>
      <c r="O64" s="58"/>
      <c r="P64" s="58"/>
    </row>
    <row r="65" spans="1:16" x14ac:dyDescent="0.25">
      <c r="A65" s="196"/>
      <c r="B65" s="197"/>
      <c r="C65" s="85"/>
      <c r="D65" s="111"/>
      <c r="E65" s="111"/>
      <c r="F65" s="86"/>
      <c r="G65" s="111"/>
      <c r="H65" s="111"/>
      <c r="I65" s="111"/>
      <c r="J65" s="111"/>
      <c r="K65" s="86"/>
      <c r="L65" s="58"/>
      <c r="M65" s="58"/>
      <c r="N65" s="58"/>
      <c r="O65" s="58"/>
      <c r="P65" s="58"/>
    </row>
    <row r="66" spans="1:16" ht="16.5" thickBot="1" x14ac:dyDescent="0.3">
      <c r="A66" s="198"/>
      <c r="B66" s="199"/>
      <c r="C66" s="122" t="s">
        <v>78</v>
      </c>
      <c r="D66" s="100"/>
      <c r="E66" s="100"/>
      <c r="F66" s="101"/>
      <c r="G66" s="100"/>
      <c r="H66" s="100"/>
      <c r="I66" s="100"/>
      <c r="J66" s="100"/>
      <c r="K66" s="101"/>
      <c r="L66" s="102"/>
      <c r="M66" s="102"/>
      <c r="N66" s="102"/>
      <c r="O66" s="102"/>
      <c r="P66" s="102"/>
    </row>
  </sheetData>
  <mergeCells count="22">
    <mergeCell ref="K61:K62"/>
    <mergeCell ref="C62:D62"/>
    <mergeCell ref="C63:D63"/>
    <mergeCell ref="C64:F64"/>
    <mergeCell ref="G64:J64"/>
    <mergeCell ref="G61:G62"/>
    <mergeCell ref="A59:F59"/>
    <mergeCell ref="A60:B60"/>
    <mergeCell ref="C60:E60"/>
    <mergeCell ref="A61:B66"/>
    <mergeCell ref="C61:D61"/>
    <mergeCell ref="A58:E58"/>
    <mergeCell ref="A1:F1"/>
    <mergeCell ref="G1:K1"/>
    <mergeCell ref="B3:F3"/>
    <mergeCell ref="A4:F4"/>
    <mergeCell ref="B5:D5"/>
    <mergeCell ref="E7:E8"/>
    <mergeCell ref="F7:F8"/>
    <mergeCell ref="A18:E18"/>
    <mergeCell ref="A28:E28"/>
    <mergeCell ref="A51:E51"/>
  </mergeCells>
  <conditionalFormatting sqref="A12:A17">
    <cfRule type="containsText" dxfId="5" priority="6" operator="containsText" text="ninguno">
      <formula>NOT(ISERROR(SEARCH("ninguno",A12)))</formula>
    </cfRule>
  </conditionalFormatting>
  <conditionalFormatting sqref="A22:A27">
    <cfRule type="containsText" dxfId="4" priority="4" operator="containsText" text="ninguno">
      <formula>NOT(ISERROR(SEARCH("ninguno",A22)))</formula>
    </cfRule>
  </conditionalFormatting>
  <conditionalFormatting sqref="A32:A50">
    <cfRule type="containsText" dxfId="3" priority="5" operator="containsText" text="ninguno">
      <formula>NOT(ISERROR(SEARCH("ninguno",A32)))</formula>
    </cfRule>
  </conditionalFormatting>
  <conditionalFormatting sqref="B12:P17">
    <cfRule type="cellIs" dxfId="2" priority="3" stopIfTrue="1" operator="between">
      <formula>-1</formula>
      <formula>0</formula>
    </cfRule>
  </conditionalFormatting>
  <conditionalFormatting sqref="B22:P27">
    <cfRule type="cellIs" dxfId="1" priority="2" stopIfTrue="1" operator="between">
      <formula>-1</formula>
      <formula>0</formula>
    </cfRule>
  </conditionalFormatting>
  <conditionalFormatting sqref="C32:P50">
    <cfRule type="cellIs" dxfId="0" priority="1" stopIfTrue="1" operator="between">
      <formula>-1</formula>
      <formula>0</formula>
    </cfRule>
  </conditionalFormatting>
  <dataValidations count="1">
    <dataValidation type="list" allowBlank="1" showInputMessage="1" showErrorMessage="1" sqref="A22:A27" xr:uid="{DB0ECBFB-26E6-4C3C-9BD8-8FEA9B72F592}">
      <formula1>lstManodeobra</formula1>
    </dataValidation>
  </dataValidations>
  <printOptions horizontalCentered="1"/>
  <pageMargins left="1" right="1" top="1" bottom="1" header="0.3" footer="0.3"/>
  <pageSetup scale="40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RALV0008</vt:lpstr>
      <vt:lpstr>RALV0008!Área_de_impresión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Recalde</dc:creator>
  <cp:lastModifiedBy>Gustavo Recalde</cp:lastModifiedBy>
  <dcterms:created xsi:type="dcterms:W3CDTF">2026-07-01T17:59:16Z</dcterms:created>
  <dcterms:modified xsi:type="dcterms:W3CDTF">2026-07-01T22:51:57Z</dcterms:modified>
</cp:coreProperties>
</file>